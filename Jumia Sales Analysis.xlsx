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firstSheet="1" activeTab="5"/>
  </bookViews>
  <sheets>
    <sheet name="Data " sheetId="3" r:id="rId1"/>
    <sheet name="Read Me" sheetId="4" r:id="rId2"/>
    <sheet name="Staging Data " sheetId="1" r:id="rId3"/>
    <sheet name="Descriptive Analysis " sheetId="2" r:id="rId4"/>
    <sheet name="Trend Analysis" sheetId="5" r:id="rId5"/>
    <sheet name="DASHBOARD" sheetId="8" r:id="rId6"/>
  </sheets>
  <definedNames>
    <definedName name="_xlnm._FilterDatabase" localSheetId="2" hidden="1">'Staging Data '!$E$1:$E$116</definedName>
    <definedName name="Slicer_Rating_Category">#N/A</definedName>
    <definedName name="Slicer_Discount_Category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<sst xmlns="http://schemas.openxmlformats.org/spreadsheetml/2006/main" count="781" uniqueCount="429">
  <si>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</si>
  <si>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</si>
  <si>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</si>
  <si>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</si>
  <si>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</si>
  <si>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</si>
  <si>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</si>
  <si>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</si>
  <si>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</si>
  <si>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</si>
  <si>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</si>
  <si>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</si>
  <si>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</si>
  <si>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</si>
  <si>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</si>
  <si>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</si>
  <si>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</si>
  <si>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</si>
  <si>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</si>
  <si>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</si>
  <si>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</si>
  <si>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</si>
  <si>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</si>
  <si>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</si>
  <si>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</si>
  <si>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</si>
  <si>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</si>
  <si>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</si>
  <si>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</si>
  <si>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</si>
  <si>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</si>
  <si>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</si>
  <si>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</si>
  <si>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</si>
  <si>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</si>
  <si>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</si>
  <si>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</si>
  <si>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</si>
  <si>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</si>
  <si>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</si>
  <si>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</si>
  <si>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</si>
  <si>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</si>
  <si>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</si>
  <si>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</si>
  <si>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</si>
  <si>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</si>
  <si>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</si>
  <si>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</si>
  <si>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</si>
  <si>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</si>
  <si>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</si>
  <si>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</si>
  <si>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</si>
  <si>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</si>
  <si>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</si>
  <si>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</si>
  <si>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</si>
  <si>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</si>
  <si>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</si>
  <si>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</si>
  <si>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</si>
  <si>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</si>
  <si>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</si>
  <si>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</si>
  <si>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</si>
  <si>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</si>
  <si>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</si>
  <si>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</si>
  <si>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</si>
  <si>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</si>
  <si>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</si>
  <si>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</si>
  <si>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</si>
  <si>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</si>
  <si>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</si>
  <si>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</si>
  <si>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</si>
  <si>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</si>
  <si>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</si>
  <si>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</si>
  <si>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</si>
  <si>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</si>
  <si>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</si>
  <si>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</si>
  <si>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</si>
  <si>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</si>
  <si>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</si>
  <si>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</si>
  <si>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</si>
  <si>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</si>
  <si>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</si>
  <si>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</si>
  <si>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</si>
  <si>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</si>
  <si>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</si>
  <si>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</si>
  <si>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</si>
  <si>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</si>
  <si>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</si>
  <si>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</si>
  <si>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</si>
  <si>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</si>
  <si>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</si>
  <si>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</si>
  <si>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</si>
  <si>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</si>
  <si>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</si>
  <si>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</si>
  <si>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</si>
  <si>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</si>
  <si>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</si>
  <si>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</si>
  <si>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</si>
  <si>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</si>
  <si>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</si>
  <si>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</si>
  <si>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</si>
  <si>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</si>
  <si>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</si>
  <si>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</si>
  <si>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</si>
  <si>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</si>
  <si>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</si>
  <si>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</si>
  <si>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</si>
  <si>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</si>
  <si>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</si>
  <si>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</si>
  <si>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</si>
  <si>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</si>
  <si>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</si>
  <si>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</si>
  <si>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</si>
  <si>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</si>
  <si>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</si>
  <si>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</si>
  <si>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</si>
  <si>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</si>
  <si>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</si>
  <si>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</si>
  <si>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</si>
  <si>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</si>
  <si>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</si>
  <si>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</si>
  <si>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</si>
  <si>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</si>
  <si>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</si>
  <si>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</si>
  <si>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</si>
  <si>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</si>
  <si>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</si>
  <si>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</si>
  <si>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</si>
  <si>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</si>
  <si>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</si>
  <si>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</si>
  <si>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</si>
  <si>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</si>
  <si>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</si>
  <si>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</si>
  <si>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</si>
  <si>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</si>
  <si>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</si>
  <si>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</si>
  <si>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</si>
  <si>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</si>
  <si>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</si>
  <si>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</si>
  <si>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</si>
  <si>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</si>
  <si>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</si>
  <si>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</si>
  <si>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</si>
  <si>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</si>
  <si>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</si>
  <si>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</si>
  <si>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</si>
  <si>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</si>
  <si>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</si>
  <si>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</si>
  <si>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</si>
  <si>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</si>
  <si>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</si>
  <si>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</si>
  <si>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</si>
  <si>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</si>
  <si>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</si>
  <si>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</si>
  <si>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</si>
  <si>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</si>
  <si>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</si>
  <si>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</si>
  <si>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</si>
  <si>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</si>
  <si>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</si>
  <si>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</si>
  <si>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</si>
  <si>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</si>
  <si>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</si>
  <si>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</si>
  <si>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</si>
  <si>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</si>
  <si>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</si>
  <si>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</si>
  <si>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</si>
  <si>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</si>
  <si>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</si>
  <si>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</si>
  <si>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</si>
  <si>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</si>
  <si>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</si>
  <si>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</si>
  <si>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</si>
  <si>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</si>
  <si>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</si>
  <si>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</si>
  <si>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</si>
  <si>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</si>
  <si>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</si>
  <si>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</si>
  <si>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</si>
  <si>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</si>
  <si>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</si>
  <si>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</si>
  <si>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</si>
  <si>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</si>
  <si>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</si>
  <si>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</si>
  <si>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</si>
  <si>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</si>
  <si>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</si>
  <si>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</si>
  <si>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</si>
  <si>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</si>
  <si>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</si>
  <si>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</si>
  <si>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</si>
  <si>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</si>
  <si>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</si>
  <si>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</si>
  <si>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</si>
  <si>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</si>
  <si>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</si>
  <si>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</si>
  <si>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</si>
  <si>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</si>
  <si>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</si>
  <si>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</si>
  <si>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</si>
  <si>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</si>
  <si>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Gloves.32℉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</si>
  <si>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</si>
  <si>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</si>
  <si>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</si>
  <si>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</si>
  <si>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</si>
  <si>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</si>
  <si>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</si>
  <si>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</si>
  <si>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</si>
  <si>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</si>
  <si>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</si>
  <si>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</si>
  <si>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</si>
  <si>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</si>
  <si>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</si>
  <si>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</si>
  <si>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</si>
  <si>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</si>
  <si>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</si>
  <si>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</si>
  <si>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</si>
  <si>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</si>
  <si>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</si>
  <si>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</si>
  <si>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</si>
  <si>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</si>
  <si>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</si>
  <si>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</si>
  <si>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</si>
  <si>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</si>
  <si>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</si>
  <si>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</si>
  <si>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</si>
  <si>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</si>
  <si>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</si>
  <si>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</si>
  <si>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</si>
  <si>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</si>
  <si>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</si>
  <si>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</si>
  <si>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</si>
  <si>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</si>
  <si>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</si>
  <si>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</si>
  <si>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</si>
  <si>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</si>
  <si>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</si>
  <si>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</si>
  <si>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</si>
  <si>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</si>
  <si>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</si>
  <si>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</si>
  <si>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</si>
  <si>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</si>
  <si>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</si>
  <si>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</si>
  <si>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</si>
  <si>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</si>
  <si>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</si>
  <si>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</si>
  <si>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</si>
  <si>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</si>
  <si>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</si>
  <si>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</si>
  <si>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</si>
  <si>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</si>
  <si>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</si>
  <si>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</si>
  <si>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</si>
  <si>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</si>
  <si>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</si>
  <si>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 xml:space="preserve">JUMIA SALES PERFORMANCE ANALYSIS </t>
  </si>
  <si>
    <t xml:space="preserve">Project Overview </t>
  </si>
  <si>
    <t>This project analyzes Jumia product data to evaluate how pricing, discounts, customer ratings, and reviews influence product visibility and engagement in an e-commerce environment.</t>
  </si>
  <si>
    <t>The analysis include</t>
  </si>
  <si>
    <t>- Data cleaning and preparation</t>
  </si>
  <si>
    <t>- Trend and relationship analysis</t>
  </si>
  <si>
    <t>- Product performance evaluation</t>
  </si>
  <si>
    <t>- Interactive dashboard development</t>
  </si>
  <si>
    <t>Data Cleaning &amp; Preparation</t>
  </si>
  <si>
    <t xml:space="preserve">The following steps were performed </t>
  </si>
  <si>
    <t>Removed duplicate product entries</t>
  </si>
  <si>
    <t>Converted Current Price and Old Price from text to numeric values</t>
  </si>
  <si>
    <t>Removed “KSh” symbols and commas from price fields</t>
  </si>
  <si>
    <t>Converted Discount values into percentage format</t>
  </si>
  <si>
    <t>Extracted numeric values from the Rating column</t>
  </si>
  <si>
    <t>Converted negative review values into positive values using ABS()</t>
  </si>
  <si>
    <t>Handled missing review and rating values</t>
  </si>
  <si>
    <r>
      <t xml:space="preserve">Additional columns were created </t>
    </r>
    <r>
      <rPr>
        <sz val="11"/>
        <color theme="1"/>
        <rFont val="Calibri"/>
        <charset val="134"/>
        <scheme val="minor"/>
      </rPr>
      <t xml:space="preserve">: </t>
    </r>
  </si>
  <si>
    <t>- Discount Amount (KSh) Calculated as : Old Price minus Current Price</t>
  </si>
  <si>
    <r>
      <t xml:space="preserve"> - </t>
    </r>
    <r>
      <rPr>
        <sz val="12"/>
        <color rgb="FF000000"/>
        <rFont val="Times New Roman"/>
        <charset val="134"/>
      </rPr>
      <t>Rating Category:</t>
    </r>
  </si>
  <si>
    <r>
      <t xml:space="preserve"> </t>
    </r>
    <r>
      <rPr>
        <sz val="12"/>
        <color rgb="FF000000"/>
        <rFont val="Times New Roman"/>
        <charset val="134"/>
      </rPr>
      <t>Poor for ratings below 3</t>
    </r>
  </si>
  <si>
    <t>Average for ratings between 3 and 4.4</t>
  </si>
  <si>
    <t xml:space="preserve"> Excellent for ratings of 4.5 and above</t>
  </si>
  <si>
    <t>- Discount Category:</t>
  </si>
  <si>
    <r>
      <t xml:space="preserve"> </t>
    </r>
    <r>
      <rPr>
        <sz val="12"/>
        <color rgb="FF000000"/>
        <rFont val="Times New Roman"/>
        <charset val="134"/>
      </rPr>
      <t>Low Discount for discounts below 20%</t>
    </r>
  </si>
  <si>
    <t xml:space="preserve"> Medium Discount for discounts between 20% and 40%</t>
  </si>
  <si>
    <r>
      <t xml:space="preserve"> </t>
    </r>
    <r>
      <rPr>
        <sz val="12"/>
        <color rgb="FF000000"/>
        <rFont val="Times New Roman"/>
        <charset val="134"/>
      </rPr>
      <t>High Discount for discounts above 40%</t>
    </r>
  </si>
  <si>
    <t>Analysis Conducted</t>
  </si>
  <si>
    <t>The project analyzed:</t>
  </si>
  <si>
    <t>Average pricing and discount trends</t>
  </si>
  <si>
    <t>Relationship between discounts and customer reviews</t>
  </si>
  <si>
    <t>Relationship between ratings and customer engagement</t>
  </si>
  <si>
    <t>Top-performing products by:</t>
  </si>
  <si>
    <t>Reviews</t>
  </si>
  <si>
    <t>Ratings</t>
  </si>
  <si>
    <t>Discounts</t>
  </si>
  <si>
    <t>Product distribution across categories</t>
  </si>
  <si>
    <t>Dashboard Features</t>
  </si>
  <si>
    <t>The dashboard includes:</t>
  </si>
  <si>
    <t>1. KPIs</t>
  </si>
  <si>
    <t>2. Total Products</t>
  </si>
  <si>
    <t>3. Average Rating</t>
  </si>
  <si>
    <t>4. Average Discount Percentage</t>
  </si>
  <si>
    <t>5. Total Reviews</t>
  </si>
  <si>
    <t>6. Visualizations</t>
  </si>
  <si>
    <t>7. Top-performing products</t>
  </si>
  <si>
    <t>8. Discount vs Reviews scatter plot</t>
  </si>
  <si>
    <t>9. Rating vs Reviews scatter plot</t>
  </si>
  <si>
    <t>10. Rating category breakdown</t>
  </si>
  <si>
    <t>11. Discount category breakdown</t>
  </si>
  <si>
    <t>12. Discount category comparison analysis</t>
  </si>
  <si>
    <t>Interactivity</t>
  </si>
  <si>
    <t>Filters for rating and discount categories</t>
  </si>
  <si>
    <t>Key Insights</t>
  </si>
  <si>
    <t>- Discounts show a weak relationship with customer engagement</t>
  </si>
  <si>
    <t>-Higher-rated products tend to attract more customer reviews</t>
  </si>
  <si>
    <t>- A small number of products dominate customer interaction</t>
  </si>
  <si>
    <t>- Heavy discounts do not always correspond to better ratings</t>
  </si>
  <si>
    <t>-Customer satisfaction appears to influence engagement more strongly than discounts</t>
  </si>
  <si>
    <t>Recommendations</t>
  </si>
  <si>
    <t>1. Focus on improving product quality and customer satisfaction</t>
  </si>
  <si>
    <t>2. Use discounts strategically rather than aggressively</t>
  </si>
  <si>
    <t>3. Prioritize highly rated products in promotional campaigns</t>
  </si>
  <si>
    <t>4. Investigate low-rated products for potential quality issues</t>
  </si>
  <si>
    <t>5. Encourage customer feedback and review generation</t>
  </si>
  <si>
    <t>Tools Used</t>
  </si>
  <si>
    <t xml:space="preserve">- Excel </t>
  </si>
  <si>
    <t>- Pivot Tables &amp; Pivot Charts</t>
  </si>
  <si>
    <t>- Data Cleaning &amp; Transformation</t>
  </si>
  <si>
    <t>- Dashboard Design</t>
  </si>
  <si>
    <t>- Conditional Formatting</t>
  </si>
  <si>
    <t xml:space="preserve">Product </t>
  </si>
  <si>
    <t xml:space="preserve">Rating  </t>
  </si>
  <si>
    <t xml:space="preserve">Abs Reviews </t>
  </si>
  <si>
    <t xml:space="preserve">Discount Amount </t>
  </si>
  <si>
    <t xml:space="preserve">Rating Category </t>
  </si>
  <si>
    <t xml:space="preserve">Discount Category </t>
  </si>
  <si>
    <t>ABS reviews</t>
  </si>
  <si>
    <t>Average of Current price</t>
  </si>
  <si>
    <t>Average of old price</t>
  </si>
  <si>
    <t>Average of Discount</t>
  </si>
  <si>
    <t xml:space="preserve">Average of Rating  </t>
  </si>
  <si>
    <t>Max of Current price</t>
  </si>
  <si>
    <t>Min of Current price</t>
  </si>
  <si>
    <t>Excellent</t>
  </si>
  <si>
    <t>High</t>
  </si>
  <si>
    <t xml:space="preserve">Sum of Rating  </t>
  </si>
  <si>
    <t>Grand Total</t>
  </si>
  <si>
    <t>(ALL)</t>
  </si>
  <si>
    <t xml:space="preserve">Top 10 products with the highest discounts </t>
  </si>
  <si>
    <t xml:space="preserve">Comparison : Discount categories vs Rating &amp; Reviews </t>
  </si>
  <si>
    <t xml:space="preserve">Average of Abs Reviews </t>
  </si>
  <si>
    <t>Sum of Discount</t>
  </si>
  <si>
    <t>Low</t>
  </si>
  <si>
    <t>Medium</t>
  </si>
  <si>
    <t xml:space="preserve">Average </t>
  </si>
  <si>
    <t>Poor</t>
  </si>
  <si>
    <t>Top 10 products with the highest reviews</t>
  </si>
  <si>
    <t xml:space="preserve">Sum of Abs Reviews </t>
  </si>
  <si>
    <t xml:space="preserve">Top 5 products with the highest rating </t>
  </si>
  <si>
    <t>Top 10 products by discount %</t>
  </si>
  <si>
    <t>Total Number of Products</t>
  </si>
  <si>
    <t xml:space="preserve">Average Rating </t>
  </si>
  <si>
    <t>Average Discount</t>
  </si>
  <si>
    <t>Total Number of Reviews</t>
  </si>
  <si>
    <t xml:space="preserve">Count of Product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</si>
</sst>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0"/>
      <color rgb="FF000000"/>
      <name val="Symbol"/>
      <charset val="134"/>
    </font>
    <font>
      <sz val="10"/>
      <color rgb="FF000000"/>
      <name val="Courier New"/>
      <charset val="134"/>
    </font>
    <font>
      <sz val="10"/>
      <color rgb="FF000000"/>
      <name val="Arial"/>
      <charset val="134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9" fontId="0" fillId="0" borderId="0" xfId="3">
      <alignment vertical="center"/>
    </xf>
    <xf numFmtId="178" fontId="3" fillId="0" borderId="0" xfId="0" applyNumberFormat="1" applyFont="1">
      <alignment vertical="center"/>
    </xf>
    <xf numFmtId="9" fontId="3" fillId="0" borderId="0" xfId="3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Font="1" quotePrefix="1">
      <alignment vertical="center"/>
    </xf>
    <xf numFmtId="0" fontId="0" fillId="0" borderId="0" xfId="0" quotePrefix="1">
      <alignment vertical="center"/>
    </xf>
    <xf numFmtId="0" fontId="6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ont>
        <b val="1"/>
      </font>
    </dxf>
    <dxf>
      <font>
        <sz val="14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tablestyleA27_6c9784" count="7" xr9:uid="{6872AB50-2BD5-4BC4-972E-3E978DEA9271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second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1.xlsx]Descriptive Analysis 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 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'Descriptive Analysis '!$A$24:$A$40</c:f>
              <c:strCache>
                <c:ptCount val="16"/>
                <c:pt idx="0">
                  <c:v>0.41</c:v>
                </c:pt>
                <c:pt idx="1">
                  <c:v>0.42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0.47</c:v>
                </c:pt>
                <c:pt idx="6">
                  <c:v>0.48</c:v>
                </c:pt>
                <c:pt idx="7">
                  <c:v>0.49</c:v>
                </c:pt>
                <c:pt idx="8">
                  <c:v>0.5</c:v>
                </c:pt>
                <c:pt idx="9">
                  <c:v>0.51</c:v>
                </c:pt>
                <c:pt idx="10">
                  <c:v>0.52</c:v>
                </c:pt>
                <c:pt idx="11">
                  <c:v>0.53</c:v>
                </c:pt>
                <c:pt idx="12">
                  <c:v>0.54</c:v>
                </c:pt>
                <c:pt idx="13">
                  <c:v>0.55</c:v>
                </c:pt>
                <c:pt idx="14">
                  <c:v>0.61</c:v>
                </c:pt>
                <c:pt idx="15">
                  <c:v>0.64</c:v>
                </c:pt>
              </c:strCache>
            </c:strRef>
          </c:cat>
          <c:val>
            <c:numRef>
              <c:f>'Descriptive Analysis '!$B$24:$B$40</c:f>
              <c:numCache>
                <c:formatCode>General</c:formatCode>
                <c:ptCount val="16"/>
                <c:pt idx="0">
                  <c:v>1.43333333333333</c:v>
                </c:pt>
                <c:pt idx="1">
                  <c:v>1.125</c:v>
                </c:pt>
                <c:pt idx="2">
                  <c:v>1.325</c:v>
                </c:pt>
                <c:pt idx="3">
                  <c:v>2.15</c:v>
                </c:pt>
                <c:pt idx="4">
                  <c:v>2.66666666666667</c:v>
                </c:pt>
                <c:pt idx="5">
                  <c:v>1.88571428571429</c:v>
                </c:pt>
                <c:pt idx="6">
                  <c:v>1.075</c:v>
                </c:pt>
                <c:pt idx="7">
                  <c:v>1.52857142857143</c:v>
                </c:pt>
                <c:pt idx="8">
                  <c:v>0.614285714285714</c:v>
                </c:pt>
                <c:pt idx="9">
                  <c:v>5</c:v>
                </c:pt>
                <c:pt idx="10">
                  <c:v>3.5</c:v>
                </c:pt>
                <c:pt idx="11">
                  <c:v>4.15</c:v>
                </c:pt>
                <c:pt idx="12">
                  <c:v>3.65</c:v>
                </c:pt>
                <c:pt idx="13">
                  <c:v>2.3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0619"/>
        <c:axId val="748095274"/>
      </c:barChart>
      <c:catAx>
        <c:axId val="5112106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095274"/>
        <c:crosses val="autoZero"/>
        <c:auto val="1"/>
        <c:lblAlgn val="ctr"/>
        <c:lblOffset val="100"/>
        <c:noMultiLvlLbl val="0"/>
      </c:catAx>
      <c:valAx>
        <c:axId val="7480952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210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9ba615-e93a-4bd1-a1fd-7ce9d33d20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1.xlsx]Descriptive Analysis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distribution against rating </a:t>
            </a:r>
            <a:endParaRPr lang="en-US"/>
          </a:p>
        </c:rich>
      </c:tx>
      <c:layout>
        <c:manualLayout>
          <c:xMode val="edge"/>
          <c:yMode val="edge"/>
          <c:x val="0.383526505795174"/>
          <c:y val="0.091559226430298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 '!$G$21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'Descriptive Analysis '!$F$22:$F$45</c:f>
              <c:strCache>
                <c:ptCount val="23"/>
                <c:pt idx="0">
                  <c:v>1/2/3 Seater Elastic Sofa Cover,Living Room/Home Decor Chair Cover-Grey</c:v>
                </c:pt>
                <c:pt idx="1">
                  <c:v>100 Pcs Crochet Hook Tool Set Knitting Hook Set With Box</c:v>
                </c:pt>
                <c:pt idx="2">
                  <c:v>115  Piece Set Of Multifunctional Precision Screwdrivers</c:v>
                </c:pt>
                <c:pt idx="3">
                  <c:v>12 Litre Insulated Lunch Box Grey</c:v>
                </c:pt>
                <c:pt idx="4">
                  <c:v>137 Pieces Cake Decorating Tool Set Baking Supplies</c:v>
                </c:pt>
                <c:pt idx="5">
                  <c:v>3D Waterproof EVA Plastic Shower Curtain 1.8*2Mtrs</c:v>
                </c:pt>
                <c:pt idx="6">
                  <c:v>40cm Gold DIY Acrylic Wall Sticker Clock</c:v>
                </c:pt>
                <c:pt idx="7">
                  <c:v>53 Pieces/Set Yarn Knitting Crochet Hooks With Bag - Pansies</c:v>
                </c:pt>
                <c:pt idx="8">
                  <c:v>53Pcs/Set Yarn Knitting Crochet Hooks With Bag - Fortune Cat</c:v>
                </c:pt>
                <c:pt idx="9">
                  <c:v>Anti-Skid Absorbent Insulation Coaster  For Home Office</c:v>
                </c:pt>
                <c:pt idx="10">
                  <c:v>Bedroom Simple Floor Hanging Clothes Rack Single Pole Hat Rack - White</c:v>
                </c:pt>
                <c:pt idx="11">
                  <c:v>Classic Black Cat Cotton Hemp Pillow Case For Home Car</c:v>
                </c:pt>
                <c:pt idx="12">
                  <c:v>DIY File Folder, Office Drawer File Holder, Pen Holder, Desktop Storage Rack</c:v>
                </c:pt>
                <c:pt idx="13">
                  <c:v>Electronic Digital Display Vernier Caliper</c:v>
                </c:pt>
                <c:pt idx="14">
                  <c:v>Konka Healty Electric Kettle, 24-hour Heat Preservation,1.5L,800W, White</c:v>
                </c:pt>
                <c:pt idx="15">
                  <c:v>LASA Aluminum Folding Truck Hand Cart - 68kg Max</c:v>
                </c:pt>
                <c:pt idx="16">
                  <c:v>LASA Digital Thermometer And Hydrometer</c:v>
                </c:pt>
                <c:pt idx="17">
                  <c:v>LASA FOLDING TABLE SERVING STAND</c:v>
                </c:pt>
                <c:pt idx="18">
                  <c:v>LED Wall Digital Alarm Clock Study Home 12 / 24H Clock Calendar</c:v>
                </c:pt>
                <c:pt idx="19">
                  <c:v>Peacock  Throw Pillow Cushion Case For Home Car</c:v>
                </c:pt>
                <c:pt idx="20">
                  <c:v>Portable Home Small Air Humidifier 3-Speed Fan - Green</c:v>
                </c:pt>
                <c:pt idx="21">
                  <c:v>Portable Mini Cordless Car Vacuum Cleaner - Blue</c:v>
                </c:pt>
                <c:pt idx="22">
                  <c:v>Weighing Scale Digital Bathroom Body Fat Scale USB-Black</c:v>
                </c:pt>
              </c:strCache>
            </c:strRef>
          </c:cat>
          <c:val>
            <c:numRef>
              <c:f>'Descriptive Analysis '!$G$22:$G$45</c:f>
              <c:numCache>
                <c:formatCode>General</c:formatCode>
                <c:ptCount val="23"/>
                <c:pt idx="0">
                  <c:v>4.5</c:v>
                </c:pt>
                <c:pt idx="1">
                  <c:v>4.7</c:v>
                </c:pt>
                <c:pt idx="2">
                  <c:v>4.5</c:v>
                </c:pt>
                <c:pt idx="3">
                  <c:v>4.7</c:v>
                </c:pt>
                <c:pt idx="4">
                  <c:v>4.6</c:v>
                </c:pt>
                <c:pt idx="5">
                  <c:v>4.6</c:v>
                </c:pt>
                <c:pt idx="6">
                  <c:v>4.8</c:v>
                </c:pt>
                <c:pt idx="7">
                  <c:v>4.5</c:v>
                </c:pt>
                <c:pt idx="8">
                  <c:v>4.7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4.6</c:v>
                </c:pt>
                <c:pt idx="14">
                  <c:v>5</c:v>
                </c:pt>
                <c:pt idx="15">
                  <c:v>5</c:v>
                </c:pt>
                <c:pt idx="16">
                  <c:v>4.5</c:v>
                </c:pt>
                <c:pt idx="17">
                  <c:v>4.8</c:v>
                </c:pt>
                <c:pt idx="18">
                  <c:v>4.6</c:v>
                </c:pt>
                <c:pt idx="19">
                  <c:v>5</c:v>
                </c:pt>
                <c:pt idx="20">
                  <c:v>4.8</c:v>
                </c:pt>
                <c:pt idx="21">
                  <c:v>4.6</c:v>
                </c:pt>
                <c:pt idx="22">
                  <c:v>4.7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575151"/>
        <c:axId val="256669618"/>
      </c:barChart>
      <c:catAx>
        <c:axId val="267575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669618"/>
        <c:crosses val="autoZero"/>
        <c:auto val="1"/>
        <c:lblAlgn val="ctr"/>
        <c:lblOffset val="100"/>
        <c:noMultiLvlLbl val="0"/>
      </c:catAx>
      <c:valAx>
        <c:axId val="2566696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57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bf7e6b-25ef-4bdd-8d80-4f934c777e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  vs Number of reviews </a:t>
            </a:r>
          </a:p>
        </c:rich>
      </c:tx>
      <c:layout>
        <c:manualLayout>
          <c:xMode val="edge"/>
          <c:yMode val="edge"/>
          <c:x val="0.233091628213579"/>
          <c:y val="0.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Analysis'!$B$4:$B$7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01579035"/>
        <c:axId val="593958083"/>
      </c:barChart>
      <c:catAx>
        <c:axId val="4015790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958083"/>
        <c:crosses val="autoZero"/>
        <c:auto val="1"/>
        <c:lblAlgn val="ctr"/>
        <c:lblOffset val="100"/>
        <c:noMultiLvlLbl val="0"/>
      </c:catAx>
      <c:valAx>
        <c:axId val="5939580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5790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Ratings vs Reviews</a:t>
            </a:r>
          </a:p>
        </c:rich>
      </c:tx>
      <c:layout>
        <c:manualLayout>
          <c:xMode val="edge"/>
          <c:yMode val="edge"/>
          <c:x val="0.357735898787559"/>
          <c:y val="0.11041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Analysis'!$A$13:$A$16</c:f>
              <c:strCache>
                <c:ptCount val="3"/>
                <c:pt idx="0">
                  <c:v>Average </c:v>
                </c:pt>
                <c:pt idx="1">
                  <c:v>Excellent</c:v>
                </c:pt>
                <c:pt idx="2">
                  <c:v>Poor</c:v>
                </c:pt>
              </c:strCache>
            </c:strRef>
          </c:cat>
          <c:val>
            <c:numRef>
              <c:f>'Trend Analysis'!$B$13:$B$16</c:f>
              <c:numCache>
                <c:formatCode>General</c:formatCode>
                <c:ptCount val="3"/>
                <c:pt idx="0">
                  <c:v>10.1363636363636</c:v>
                </c:pt>
                <c:pt idx="1">
                  <c:v>14.3913043478261</c:v>
                </c:pt>
                <c:pt idx="2">
                  <c:v>2.52238805970149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50400829"/>
        <c:axId val="36313204"/>
      </c:barChart>
      <c:catAx>
        <c:axId val="9504008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13204"/>
        <c:crosses val="autoZero"/>
        <c:auto val="1"/>
        <c:lblAlgn val="ctr"/>
        <c:lblOffset val="100"/>
        <c:noMultiLvlLbl val="0"/>
      </c:catAx>
      <c:valAx>
        <c:axId val="36313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4008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 Category vs Rating vs Reviews</a:t>
            </a:r>
          </a:p>
        </c:rich>
      </c:tx>
      <c:layout>
        <c:manualLayout>
          <c:xMode val="edge"/>
          <c:yMode val="edge"/>
          <c:x val="0.207236842105263"/>
          <c:y val="0.12430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Analysis'!$J$3</c:f>
              <c:strCache>
                <c:ptCount val="1"/>
                <c:pt idx="0">
                  <c:v>Average of Rating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Analysis'!$J$4:$J$7</c:f>
              <c:numCache>
                <c:formatCode>General</c:formatCode>
                <c:ptCount val="3"/>
                <c:pt idx="0">
                  <c:v>1.74838709677419</c:v>
                </c:pt>
                <c:pt idx="1">
                  <c:v>0.827777777777778</c:v>
                </c:pt>
                <c:pt idx="2">
                  <c:v>3.075</c:v>
                </c:pt>
              </c:numCache>
            </c:numRef>
          </c:val>
        </c:ser>
        <c:ser>
          <c:idx val="1"/>
          <c:order val="1"/>
          <c:tx>
            <c:strRef>
              <c:f>'Trend Analysis'!$K$3</c:f>
              <c:strCache>
                <c:ptCount val="1"/>
                <c:pt idx="0">
                  <c:v>Average of Abs Reviews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Analysis'!$K$4:$K$7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544560"/>
        <c:axId val="124660884"/>
      </c:barChart>
      <c:catAx>
        <c:axId val="30654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60884"/>
        <c:crosses val="autoZero"/>
        <c:auto val="1"/>
        <c:lblAlgn val="ctr"/>
        <c:lblOffset val="100"/>
        <c:noMultiLvlLbl val="0"/>
      </c:catAx>
      <c:valAx>
        <c:axId val="124660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5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Products by Discount Category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Analysis'!$E$4:$E$14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Analysis'!$F$4:$F$14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1219126"/>
        <c:axId val="304219500"/>
      </c:barChart>
      <c:catAx>
        <c:axId val="1121912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219500"/>
        <c:crosses val="autoZero"/>
        <c:auto val="1"/>
        <c:lblAlgn val="ctr"/>
        <c:lblOffset val="100"/>
        <c:noMultiLvlLbl val="0"/>
      </c:catAx>
      <c:valAx>
        <c:axId val="304219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Products by Discount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'Trend Analysis'!$B$55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Analysis'!$A$56:$A$66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Analysis'!$B$56:$B$66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3352725"/>
        <c:axId val="905152635"/>
      </c:barChart>
      <c:catAx>
        <c:axId val="1433527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152635"/>
        <c:crosses val="autoZero"/>
        <c:auto val="1"/>
        <c:lblAlgn val="ctr"/>
        <c:lblOffset val="100"/>
        <c:noMultiLvlLbl val="0"/>
      </c:catAx>
      <c:valAx>
        <c:axId val="9051526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352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Discount%  vs Customer Reviews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33359642199421"/>
          <c:y val="0.05208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'Staging Data '!$M$1</c:f>
              <c:strCache>
                <c:ptCount val="1"/>
                <c:pt idx="0">
                  <c:v>ABS reviews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'Staging Data '!$L$2:$L$113</c:f>
              <c:numCache>
                <c:formatCode>0%</c:formatCode>
                <c:ptCount val="112"/>
                <c:pt idx="0">
                  <c:v>0.38</c:v>
                </c:pt>
                <c:pt idx="1">
                  <c:v>0.47</c:v>
                </c:pt>
                <c:pt idx="2">
                  <c:v>0.25</c:v>
                </c:pt>
                <c:pt idx="3">
                  <c:v>0.37</c:v>
                </c:pt>
                <c:pt idx="4">
                  <c:v>0.26</c:v>
                </c:pt>
                <c:pt idx="5">
                  <c:v>0.09</c:v>
                </c:pt>
                <c:pt idx="6">
                  <c:v>0.24</c:v>
                </c:pt>
                <c:pt idx="7">
                  <c:v>0.37</c:v>
                </c:pt>
                <c:pt idx="8">
                  <c:v>0.55</c:v>
                </c:pt>
                <c:pt idx="9">
                  <c:v>0.45</c:v>
                </c:pt>
                <c:pt idx="10">
                  <c:v>0.2</c:v>
                </c:pt>
                <c:pt idx="11">
                  <c:v>0.34</c:v>
                </c:pt>
                <c:pt idx="12">
                  <c:v>0.47</c:v>
                </c:pt>
                <c:pt idx="13">
                  <c:v>0.42</c:v>
                </c:pt>
                <c:pt idx="14">
                  <c:v>0.33</c:v>
                </c:pt>
                <c:pt idx="15">
                  <c:v>0.51</c:v>
                </c:pt>
                <c:pt idx="16">
                  <c:v>0.46</c:v>
                </c:pt>
                <c:pt idx="17">
                  <c:v>0.49</c:v>
                </c:pt>
                <c:pt idx="18">
                  <c:v>0.19</c:v>
                </c:pt>
                <c:pt idx="19">
                  <c:v>0.49</c:v>
                </c:pt>
                <c:pt idx="20">
                  <c:v>0.53</c:v>
                </c:pt>
                <c:pt idx="21">
                  <c:v>0.42</c:v>
                </c:pt>
                <c:pt idx="22">
                  <c:v>0.35</c:v>
                </c:pt>
                <c:pt idx="23">
                  <c:v>0.23</c:v>
                </c:pt>
                <c:pt idx="24">
                  <c:v>0.54</c:v>
                </c:pt>
                <c:pt idx="25">
                  <c:v>0.35</c:v>
                </c:pt>
                <c:pt idx="26">
                  <c:v>0.18</c:v>
                </c:pt>
                <c:pt idx="27">
                  <c:v>0.32</c:v>
                </c:pt>
                <c:pt idx="28">
                  <c:v>0.3</c:v>
                </c:pt>
                <c:pt idx="29">
                  <c:v>0.46</c:v>
                </c:pt>
                <c:pt idx="30">
                  <c:v>0.52</c:v>
                </c:pt>
                <c:pt idx="31">
                  <c:v>0.34</c:v>
                </c:pt>
                <c:pt idx="32">
                  <c:v>0.48</c:v>
                </c:pt>
                <c:pt idx="33">
                  <c:v>0.27</c:v>
                </c:pt>
                <c:pt idx="34">
                  <c:v>0.27</c:v>
                </c:pt>
                <c:pt idx="35">
                  <c:v>0.4</c:v>
                </c:pt>
                <c:pt idx="36">
                  <c:v>0.53</c:v>
                </c:pt>
                <c:pt idx="37">
                  <c:v>0.41</c:v>
                </c:pt>
                <c:pt idx="38">
                  <c:v>0.38</c:v>
                </c:pt>
                <c:pt idx="39">
                  <c:v>0.38</c:v>
                </c:pt>
                <c:pt idx="40">
                  <c:v>0.49</c:v>
                </c:pt>
                <c:pt idx="41">
                  <c:v>0.5</c:v>
                </c:pt>
                <c:pt idx="42">
                  <c:v>0.42</c:v>
                </c:pt>
                <c:pt idx="43">
                  <c:v>0.02</c:v>
                </c:pt>
                <c:pt idx="44">
                  <c:v>0.5</c:v>
                </c:pt>
                <c:pt idx="45">
                  <c:v>0.33</c:v>
                </c:pt>
                <c:pt idx="46">
                  <c:v>0.49</c:v>
                </c:pt>
                <c:pt idx="47">
                  <c:v>0.38</c:v>
                </c:pt>
                <c:pt idx="48">
                  <c:v>0.61</c:v>
                </c:pt>
                <c:pt idx="49">
                  <c:v>0.5</c:v>
                </c:pt>
                <c:pt idx="50">
                  <c:v>0.02</c:v>
                </c:pt>
                <c:pt idx="51">
                  <c:v>0.22</c:v>
                </c:pt>
                <c:pt idx="52">
                  <c:v>0.03</c:v>
                </c:pt>
                <c:pt idx="53">
                  <c:v>0.41</c:v>
                </c:pt>
                <c:pt idx="54">
                  <c:v>0.45</c:v>
                </c:pt>
                <c:pt idx="55">
                  <c:v>0.48</c:v>
                </c:pt>
                <c:pt idx="56">
                  <c:v>0.49</c:v>
                </c:pt>
                <c:pt idx="57">
                  <c:v>0.27</c:v>
                </c:pt>
                <c:pt idx="58">
                  <c:v>0.55</c:v>
                </c:pt>
                <c:pt idx="59">
                  <c:v>0.13</c:v>
                </c:pt>
                <c:pt idx="60">
                  <c:v>0.54</c:v>
                </c:pt>
                <c:pt idx="61">
                  <c:v>0.55</c:v>
                </c:pt>
                <c:pt idx="62">
                  <c:v>0.49</c:v>
                </c:pt>
                <c:pt idx="63">
                  <c:v>0.52</c:v>
                </c:pt>
                <c:pt idx="64">
                  <c:v>0.22</c:v>
                </c:pt>
                <c:pt idx="65">
                  <c:v>0.45</c:v>
                </c:pt>
                <c:pt idx="66">
                  <c:v>0.5</c:v>
                </c:pt>
                <c:pt idx="67">
                  <c:v>0.39</c:v>
                </c:pt>
                <c:pt idx="68">
                  <c:v>0.45</c:v>
                </c:pt>
                <c:pt idx="69">
                  <c:v>0.29</c:v>
                </c:pt>
                <c:pt idx="70">
                  <c:v>0.43</c:v>
                </c:pt>
                <c:pt idx="71">
                  <c:v>0.43</c:v>
                </c:pt>
                <c:pt idx="72">
                  <c:v>0.47</c:v>
                </c:pt>
                <c:pt idx="73">
                  <c:v>0.47</c:v>
                </c:pt>
                <c:pt idx="74">
                  <c:v>0.47</c:v>
                </c:pt>
                <c:pt idx="75">
                  <c:v>0.43</c:v>
                </c:pt>
                <c:pt idx="76">
                  <c:v>0.04</c:v>
                </c:pt>
                <c:pt idx="77">
                  <c:v>0.49</c:v>
                </c:pt>
                <c:pt idx="78">
                  <c:v>0.46</c:v>
                </c:pt>
                <c:pt idx="79">
                  <c:v>0.49</c:v>
                </c:pt>
                <c:pt idx="80">
                  <c:v>0.36</c:v>
                </c:pt>
                <c:pt idx="81">
                  <c:v>0.02</c:v>
                </c:pt>
                <c:pt idx="82">
                  <c:v>0.49</c:v>
                </c:pt>
                <c:pt idx="83">
                  <c:v>0.49</c:v>
                </c:pt>
                <c:pt idx="84">
                  <c:v>0.14</c:v>
                </c:pt>
                <c:pt idx="85">
                  <c:v>0.49</c:v>
                </c:pt>
                <c:pt idx="86">
                  <c:v>0.11</c:v>
                </c:pt>
                <c:pt idx="87">
                  <c:v>0.49</c:v>
                </c:pt>
                <c:pt idx="88">
                  <c:v>0.14</c:v>
                </c:pt>
                <c:pt idx="89">
                  <c:v>0.43</c:v>
                </c:pt>
                <c:pt idx="90">
                  <c:v>0.5</c:v>
                </c:pt>
                <c:pt idx="91">
                  <c:v>0.48</c:v>
                </c:pt>
                <c:pt idx="92">
                  <c:v>0.48</c:v>
                </c:pt>
                <c:pt idx="93">
                  <c:v>0.47</c:v>
                </c:pt>
                <c:pt idx="94">
                  <c:v>0.5</c:v>
                </c:pt>
                <c:pt idx="95">
                  <c:v>0.08</c:v>
                </c:pt>
                <c:pt idx="96">
                  <c:v>0.02</c:v>
                </c:pt>
                <c:pt idx="97">
                  <c:v>0.49</c:v>
                </c:pt>
                <c:pt idx="98">
                  <c:v>0.04</c:v>
                </c:pt>
                <c:pt idx="99">
                  <c:v>0.49</c:v>
                </c:pt>
                <c:pt idx="100">
                  <c:v>0.42</c:v>
                </c:pt>
                <c:pt idx="101">
                  <c:v>0.21</c:v>
                </c:pt>
                <c:pt idx="102">
                  <c:v>0.41</c:v>
                </c:pt>
                <c:pt idx="103">
                  <c:v>0.01</c:v>
                </c:pt>
                <c:pt idx="104">
                  <c:v>0.24</c:v>
                </c:pt>
                <c:pt idx="105">
                  <c:v>0.34</c:v>
                </c:pt>
                <c:pt idx="106">
                  <c:v>0.34</c:v>
                </c:pt>
                <c:pt idx="107">
                  <c:v>0.02</c:v>
                </c:pt>
                <c:pt idx="108">
                  <c:v>0.02</c:v>
                </c:pt>
                <c:pt idx="109">
                  <c:v>0.64</c:v>
                </c:pt>
                <c:pt idx="110">
                  <c:v>0.5</c:v>
                </c:pt>
                <c:pt idx="111">
                  <c:v>0.47</c:v>
                </c:pt>
              </c:numCache>
            </c:numRef>
          </c:xVal>
          <c:yVal>
            <c:numRef>
              <c:f>'Staging Data '!$M$2:$M$113</c:f>
              <c:numCache>
                <c:formatCode>General</c:formatCode>
                <c:ptCount val="112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0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29">
                  <c:v>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</c:v>
                </c:pt>
                <c:pt idx="60">
                  <c:v>10</c:v>
                </c:pt>
                <c:pt idx="61">
                  <c:v>13</c:v>
                </c:pt>
                <c:pt idx="62">
                  <c:v>69</c:v>
                </c:pt>
                <c:pt idx="63">
                  <c:v>15</c:v>
                </c:pt>
                <c:pt idx="64">
                  <c:v>16</c:v>
                </c:pt>
                <c:pt idx="65">
                  <c:v>6</c:v>
                </c:pt>
                <c:pt idx="66">
                  <c:v>7</c:v>
                </c:pt>
                <c:pt idx="67">
                  <c:v>5</c:v>
                </c:pt>
                <c:pt idx="68">
                  <c:v>17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59849"/>
        <c:axId val="60631333"/>
      </c:scatterChart>
      <c:valAx>
        <c:axId val="268598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Discount%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31333"/>
        <c:crosses val="autoZero"/>
        <c:crossBetween val="midCat"/>
      </c:valAx>
      <c:valAx>
        <c:axId val="606313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Absolute Reviews</a:t>
                </a:r>
              </a:p>
            </c:rich>
          </c:tx>
          <c:layout>
            <c:manualLayout>
              <c:xMode val="edge"/>
              <c:yMode val="edge"/>
              <c:x val="0.0210470928702973"/>
              <c:y val="0.2882407407407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598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ab7212-aedf-4916-b6f3-95fbc41bd1f8}"/>
      </c:ext>
    </c:extLst>
  </c:chart>
  <c:spPr>
    <a:solidFill>
      <a:schemeClr val="bg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Rating vs Customer Reviews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 </a:t>
            </a:r>
          </a:p>
        </c:rich>
      </c:tx>
      <c:layout>
        <c:manualLayout>
          <c:xMode val="edge"/>
          <c:yMode val="edge"/>
          <c:x val="0.360957642725599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'Staging Data '!$N$1</c:f>
              <c:strCache>
                <c:ptCount val="1"/>
                <c:pt idx="0">
                  <c:v>Rating 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'Staging Data '!$N$2:$N$113</c:f>
              <c:numCache>
                <c:formatCode>General</c:formatCode>
                <c:ptCount val="112"/>
                <c:pt idx="0">
                  <c:v>4.5</c:v>
                </c:pt>
                <c:pt idx="1">
                  <c:v>4.1</c:v>
                </c:pt>
                <c:pt idx="2">
                  <c:v>4.6</c:v>
                </c:pt>
                <c:pt idx="3">
                  <c:v>4.7</c:v>
                </c:pt>
                <c:pt idx="4">
                  <c:v>4.8</c:v>
                </c:pt>
                <c:pt idx="5">
                  <c:v>4</c:v>
                </c:pt>
                <c:pt idx="6">
                  <c:v>4.6</c:v>
                </c:pt>
                <c:pt idx="7">
                  <c:v>4</c:v>
                </c:pt>
                <c:pt idx="8">
                  <c:v>4.8</c:v>
                </c:pt>
                <c:pt idx="9">
                  <c:v>3.8</c:v>
                </c:pt>
                <c:pt idx="10">
                  <c:v>4.1</c:v>
                </c:pt>
                <c:pt idx="11">
                  <c:v>4.7</c:v>
                </c:pt>
                <c:pt idx="12">
                  <c:v>4.8</c:v>
                </c:pt>
                <c:pt idx="13">
                  <c:v>4.5</c:v>
                </c:pt>
                <c:pt idx="14">
                  <c:v>4.2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4.6</c:v>
                </c:pt>
                <c:pt idx="19">
                  <c:v>4.6</c:v>
                </c:pt>
                <c:pt idx="20">
                  <c:v>3.3</c:v>
                </c:pt>
                <c:pt idx="21">
                  <c:v>0</c:v>
                </c:pt>
                <c:pt idx="22">
                  <c:v>4</c:v>
                </c:pt>
                <c:pt idx="23">
                  <c:v>4.4</c:v>
                </c:pt>
                <c:pt idx="24">
                  <c:v>4.3</c:v>
                </c:pt>
                <c:pt idx="25">
                  <c:v>4.6</c:v>
                </c:pt>
                <c:pt idx="26">
                  <c:v>3.8</c:v>
                </c:pt>
                <c:pt idx="27">
                  <c:v>3.8</c:v>
                </c:pt>
                <c:pt idx="28">
                  <c:v>4.1</c:v>
                </c:pt>
                <c:pt idx="29">
                  <c:v>0</c:v>
                </c:pt>
                <c:pt idx="30">
                  <c:v>4.3</c:v>
                </c:pt>
                <c:pt idx="31">
                  <c:v>4.7</c:v>
                </c:pt>
                <c:pt idx="32">
                  <c:v>4.3</c:v>
                </c:pt>
                <c:pt idx="33">
                  <c:v>4.7</c:v>
                </c:pt>
                <c:pt idx="34">
                  <c:v>4.5</c:v>
                </c:pt>
                <c:pt idx="35">
                  <c:v>5</c:v>
                </c:pt>
                <c:pt idx="36">
                  <c:v>5</c:v>
                </c:pt>
                <c:pt idx="37">
                  <c:v>4.3</c:v>
                </c:pt>
                <c:pt idx="38">
                  <c:v>4.5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2.5</c:v>
                </c:pt>
                <c:pt idx="60">
                  <c:v>3</c:v>
                </c:pt>
                <c:pt idx="61">
                  <c:v>2.1</c:v>
                </c:pt>
                <c:pt idx="62">
                  <c:v>2.8</c:v>
                </c:pt>
                <c:pt idx="63">
                  <c:v>2.7</c:v>
                </c:pt>
                <c:pt idx="64">
                  <c:v>2.9</c:v>
                </c:pt>
                <c:pt idx="65">
                  <c:v>2.2</c:v>
                </c:pt>
                <c:pt idx="66">
                  <c:v>2.3</c:v>
                </c:pt>
                <c:pt idx="67">
                  <c:v>3</c:v>
                </c:pt>
                <c:pt idx="68">
                  <c:v>2.6</c:v>
                </c:pt>
                <c:pt idx="69">
                  <c:v>3</c:v>
                </c:pt>
                <c:pt idx="70">
                  <c:v>2.3</c:v>
                </c:pt>
                <c:pt idx="71">
                  <c:v>3</c:v>
                </c:pt>
                <c:pt idx="72">
                  <c:v>2.2</c:v>
                </c:pt>
                <c:pt idx="73">
                  <c:v>2.1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</c:numCache>
            </c:numRef>
          </c:xVal>
          <c:yVal>
            <c:numRef>
              <c:f>'Staging Data '!$M$2:$M$113</c:f>
              <c:numCache>
                <c:formatCode>General</c:formatCode>
                <c:ptCount val="112"/>
                <c:pt idx="0">
                  <c:v>2</c:v>
                </c:pt>
                <c:pt idx="1">
                  <c:v>14</c:v>
                </c:pt>
                <c:pt idx="2">
                  <c:v>24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55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39</c:v>
                </c:pt>
                <c:pt idx="12">
                  <c:v>12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44</c:v>
                </c:pt>
                <c:pt idx="20">
                  <c:v>13</c:v>
                </c:pt>
                <c:pt idx="21">
                  <c:v>0</c:v>
                </c:pt>
                <c:pt idx="22">
                  <c:v>6</c:v>
                </c:pt>
                <c:pt idx="23">
                  <c:v>14</c:v>
                </c:pt>
                <c:pt idx="24">
                  <c:v>7</c:v>
                </c:pt>
                <c:pt idx="25">
                  <c:v>49</c:v>
                </c:pt>
                <c:pt idx="26">
                  <c:v>12</c:v>
                </c:pt>
                <c:pt idx="27">
                  <c:v>13</c:v>
                </c:pt>
                <c:pt idx="28">
                  <c:v>20</c:v>
                </c:pt>
                <c:pt idx="29">
                  <c:v>0</c:v>
                </c:pt>
                <c:pt idx="30">
                  <c:v>9</c:v>
                </c:pt>
                <c:pt idx="31">
                  <c:v>12</c:v>
                </c:pt>
                <c:pt idx="32">
                  <c:v>9</c:v>
                </c:pt>
                <c:pt idx="33">
                  <c:v>20</c:v>
                </c:pt>
                <c:pt idx="34">
                  <c:v>32</c:v>
                </c:pt>
                <c:pt idx="35">
                  <c:v>1</c:v>
                </c:pt>
                <c:pt idx="36">
                  <c:v>2</c:v>
                </c:pt>
                <c:pt idx="37">
                  <c:v>36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</c:v>
                </c:pt>
                <c:pt idx="60">
                  <c:v>10</c:v>
                </c:pt>
                <c:pt idx="61">
                  <c:v>13</c:v>
                </c:pt>
                <c:pt idx="62">
                  <c:v>69</c:v>
                </c:pt>
                <c:pt idx="63">
                  <c:v>15</c:v>
                </c:pt>
                <c:pt idx="64">
                  <c:v>16</c:v>
                </c:pt>
                <c:pt idx="65">
                  <c:v>6</c:v>
                </c:pt>
                <c:pt idx="66">
                  <c:v>7</c:v>
                </c:pt>
                <c:pt idx="67">
                  <c:v>5</c:v>
                </c:pt>
                <c:pt idx="68">
                  <c:v>17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331879"/>
        <c:axId val="807248559"/>
      </c:scatterChart>
      <c:valAx>
        <c:axId val="641331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Reviews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248559"/>
        <c:crosses val="autoZero"/>
        <c:crossBetween val="midCat"/>
      </c:valAx>
      <c:valAx>
        <c:axId val="8072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Rating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3318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bc2f4-e03f-4d56-93b1-e9c5c8a28a23}"/>
      </c:ext>
    </c:extLst>
  </c:chart>
  <c:spPr>
    <a:solidFill>
      <a:schemeClr val="bg1"/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Discount Category vs Rating vs Reviews</a:t>
            </a:r>
            <a:endParaRPr b="1"/>
          </a:p>
        </c:rich>
      </c:tx>
      <c:layout>
        <c:manualLayout>
          <c:xMode val="edge"/>
          <c:yMode val="edge"/>
          <c:x val="0.152596823130466"/>
          <c:y val="0.0410673515981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Analysis'!$J$3</c:f>
              <c:strCache>
                <c:ptCount val="1"/>
                <c:pt idx="0">
                  <c:v>Average of Rating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Analysis'!$J$4:$J$7</c:f>
              <c:numCache>
                <c:formatCode>General</c:formatCode>
                <c:ptCount val="3"/>
                <c:pt idx="0">
                  <c:v>1.74838709677419</c:v>
                </c:pt>
                <c:pt idx="1">
                  <c:v>0.827777777777778</c:v>
                </c:pt>
                <c:pt idx="2">
                  <c:v>3.075</c:v>
                </c:pt>
              </c:numCache>
            </c:numRef>
          </c:val>
        </c:ser>
        <c:ser>
          <c:idx val="1"/>
          <c:order val="1"/>
          <c:tx>
            <c:strRef>
              <c:f>'Trend Analysis'!$K$3</c:f>
              <c:strCache>
                <c:ptCount val="1"/>
                <c:pt idx="0">
                  <c:v>Average of Abs Reviews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Analysis'!$I$4:$I$7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'Trend Analysis'!$K$4:$K$7</c:f>
              <c:numCache>
                <c:formatCode>General</c:formatCode>
                <c:ptCount val="3"/>
                <c:pt idx="0">
                  <c:v>5.38709677419355</c:v>
                </c:pt>
                <c:pt idx="1">
                  <c:v>2.11111111111111</c:v>
                </c:pt>
                <c:pt idx="2">
                  <c:v>10.96875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544560"/>
        <c:axId val="124660884"/>
      </c:barChart>
      <c:catAx>
        <c:axId val="30654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60884"/>
        <c:crosses val="autoZero"/>
        <c:auto val="1"/>
        <c:lblAlgn val="ctr"/>
        <c:lblOffset val="100"/>
        <c:noMultiLvlLbl val="0"/>
      </c:catAx>
      <c:valAx>
        <c:axId val="124660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5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2057e-bef1-42c8-82c7-b82c3dd086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by Discount Category</a:t>
            </a:r>
          </a:p>
        </c:rich>
      </c:tx>
      <c:layout>
        <c:manualLayout>
          <c:xMode val="edge"/>
          <c:yMode val="edge"/>
          <c:x val="0.233787357656427"/>
          <c:y val="0.05381165919282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Analysis'!$E$4:$E$14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Analysis'!$F$4:$F$14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300"/>
        <c:overlap val="0"/>
        <c:axId val="11219126"/>
        <c:axId val="304219500"/>
      </c:barChart>
      <c:catAx>
        <c:axId val="1121912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 </a:t>
                </a:r>
              </a:p>
            </c:rich>
          </c:tx>
          <c:layout>
            <c:manualLayout>
              <c:xMode val="edge"/>
              <c:yMode val="edge"/>
              <c:x val="0.231933658022904"/>
              <c:y val="0.42620370370370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219500"/>
        <c:crosses val="autoZero"/>
        <c:auto val="1"/>
        <c:lblAlgn val="ctr"/>
        <c:lblOffset val="100"/>
        <c:noMultiLvlLbl val="0"/>
      </c:catAx>
      <c:valAx>
        <c:axId val="304219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b2fa3-5283-4197-bc0d-cb37c72d4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products by Reviews</a:t>
            </a:r>
          </a:p>
        </c:rich>
      </c:tx>
      <c:layout>
        <c:manualLayout>
          <c:xMode val="edge"/>
          <c:yMode val="edge"/>
          <c:x val="0.351513157894737"/>
          <c:y val="0.10347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Analysis'!$F$20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Analysis'!$E$21:$E$31</c:f>
              <c:strCache>
                <c:ptCount val="10"/>
                <c:pt idx="0">
                  <c:v>100 Pcs Crochet Hook Tool Set Knitting Hook Set With Box</c:v>
                </c:pt>
                <c:pt idx="1">
                  <c:v>120W Cordless Vacuum Cleaners Handheld Electric Vacuum Cleaner</c:v>
                </c:pt>
                <c:pt idx="2">
                  <c:v>137 Pieces Cake Decorating Tool Set Baking Supplies</c:v>
                </c:pt>
                <c:pt idx="3">
                  <c:v>3D Waterproof EVA Plastic Shower Curtain 1.8*2Mtrs</c:v>
                </c:pt>
                <c:pt idx="4">
                  <c:v>52 Pieces Cake Decorating Tool Set Gift Kit Baking Supplies</c:v>
                </c:pt>
                <c:pt idx="5">
                  <c:v>53 Pieces/Set Yarn Knitting Crochet Hooks With Bag - Pansies</c:v>
                </c:pt>
                <c:pt idx="6">
                  <c:v>53Pcs/Set Yarn Knitting Crochet Hooks With Bag - Fortune Cat</c:v>
                </c:pt>
                <c:pt idx="7">
                  <c:v>Electronic Digital Display Vernier Caliper</c:v>
                </c:pt>
                <c:pt idx="8">
                  <c:v>Portable Mini Cordless Car Vacuum Cleaner - Blue</c:v>
                </c:pt>
                <c:pt idx="9">
                  <c:v>Punch-free Great Load Bearing Bathroom Storage Rack Wall Shelf-White</c:v>
                </c:pt>
              </c:strCache>
            </c:strRef>
          </c:cat>
          <c:val>
            <c:numRef>
              <c:f>'Trend Analysis'!$F$21:$F$31</c:f>
              <c:numCache>
                <c:formatCode>General</c:formatCode>
                <c:ptCount val="10"/>
                <c:pt idx="0">
                  <c:v>39</c:v>
                </c:pt>
                <c:pt idx="1">
                  <c:v>69</c:v>
                </c:pt>
                <c:pt idx="2">
                  <c:v>55</c:v>
                </c:pt>
                <c:pt idx="3">
                  <c:v>44</c:v>
                </c:pt>
                <c:pt idx="4">
                  <c:v>20</c:v>
                </c:pt>
                <c:pt idx="5">
                  <c:v>32</c:v>
                </c:pt>
                <c:pt idx="6">
                  <c:v>20</c:v>
                </c:pt>
                <c:pt idx="7">
                  <c:v>49</c:v>
                </c:pt>
                <c:pt idx="8">
                  <c:v>24</c:v>
                </c:pt>
                <c:pt idx="9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82635083"/>
        <c:axId val="981402433"/>
      </c:barChart>
      <c:catAx>
        <c:axId val="8826350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02433"/>
        <c:crosses val="autoZero"/>
        <c:auto val="1"/>
        <c:lblAlgn val="ctr"/>
        <c:lblOffset val="100"/>
        <c:noMultiLvlLbl val="0"/>
      </c:catAx>
      <c:valAx>
        <c:axId val="9814024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635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ca765a-2c5e-4e87-a950-5cd33fab40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[JUMIA SALES PROJECT 1.xlsx]Trend Analysis!PivotTable3</c:name>
    <c:fmtId val="1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Top products by Rating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'Trend Analysis'!$E$37:$E$44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Folder, Office Drawer File Holder, Pen Holder, Desktop Storage Rack</c:v>
                </c:pt>
                <c:pt idx="4">
                  <c:v>Konka Healty Electric Kettle, 24-hour Heat Preservation,1.5L,800W,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'Trend Analysis'!$F$37:$F$44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1192593"/>
        <c:axId val="763173140"/>
      </c:barChart>
      <c:catAx>
        <c:axId val="4311925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3173140"/>
        <c:crosses val="autoZero"/>
        <c:auto val="1"/>
        <c:lblAlgn val="ctr"/>
        <c:lblOffset val="100"/>
        <c:noMultiLvlLbl val="0"/>
      </c:catAx>
      <c:valAx>
        <c:axId val="763173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311925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2d8f7a-4772-4563-9d8a-72ca3d35503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Analysis!PivotTable3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Products by  Rating Category</a:t>
            </a:r>
            <a:r>
              <a:t> 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172418189813004"/>
          <c:y val="0.03174603174603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Analysis'!$F$36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'Trend Analysis'!$E$37:$E$44</c:f>
              <c:strCache>
                <c:ptCount val="7"/>
                <c:pt idx="0">
                  <c:v>Anti-Skid Absorbent Insulation Coaster  For Home Office</c:v>
                </c:pt>
                <c:pt idx="1">
                  <c:v>Bedroom Simple Floor Hanging Clothes Rack Single Pole Hat Rack - White</c:v>
                </c:pt>
                <c:pt idx="2">
                  <c:v>Classic Black Cat Cotton Hemp Pillow Case For Home Car</c:v>
                </c:pt>
                <c:pt idx="3">
                  <c:v>DIY File Folder, Office Drawer File Holder, Pen Holder, Desktop Storage Rack</c:v>
                </c:pt>
                <c:pt idx="4">
                  <c:v>Konka Healty Electric Kettle, 24-hour Heat Preservation,1.5L,800W, White</c:v>
                </c:pt>
                <c:pt idx="5">
                  <c:v>LASA Aluminum Folding Truck Hand Cart - 68kg Max</c:v>
                </c:pt>
                <c:pt idx="6">
                  <c:v>Peacock  Throw Pillow Cushion Case For Home Car</c:v>
                </c:pt>
              </c:strCache>
            </c:strRef>
          </c:cat>
          <c:val>
            <c:numRef>
              <c:f>'Trend Analysis'!$F$37:$F$44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56249604"/>
        <c:axId val="805337008"/>
      </c:barChart>
      <c:catAx>
        <c:axId val="6562496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337008"/>
        <c:crosses val="autoZero"/>
        <c:auto val="1"/>
        <c:lblAlgn val="ctr"/>
        <c:lblOffset val="100"/>
        <c:noMultiLvlLbl val="0"/>
      </c:catAx>
      <c:valAx>
        <c:axId val="8053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2496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831b85-6c70-41ea-8e81-bc36b08f04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[JUMIA SALES PROJECT 1.xlsx]Trend Analysis!PivotTable16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Highest Discounted Products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'Trend Analysis'!$B$55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delete val="1"/>
          </c:dLbls>
          <c:cat>
            <c:strRef>
              <c:f>'Trend Analysis'!$A$56:$A$66</c:f>
              <c:strCache>
                <c:ptCount val="10"/>
                <c:pt idx="0">
                  <c:v>3PCS Single Head Knitting Crochet Sweater Needle Set</c:v>
                </c:pt>
                <c:pt idx="1">
                  <c:v>5-PCS Stainless Steel Cooking Pot Set With Steamed Slices</c:v>
                </c:pt>
                <c:pt idx="2">
                  <c:v>6 In 1 Bottle Can Opener Multifunctional Easy Opener</c:v>
                </c:pt>
                <c:pt idx="3">
                  <c:v>Angle Measuring Tool Full Metal Multi Angle Measuring Tool</c:v>
                </c:pt>
                <c:pt idx="4">
                  <c:v>Classic Black Cat Cotton Hemp Pillow Case For Home Car</c:v>
                </c:pt>
                <c:pt idx="5">
                  <c:v>Creative Owl Shape Keychain Black</c:v>
                </c:pt>
                <c:pt idx="6">
                  <c:v>LASA 3 Tier Bamboo Shoe Bench Storage Shelf</c:v>
                </c:pt>
                <c:pt idx="7">
                  <c:v>LASA FOLDING TABLE SERVING STAND</c:v>
                </c:pt>
                <c:pt idx="8">
                  <c:v>Mythco 120COB Solar Wall Ligt With Motion Sensor And Remote Control 3 Modes</c:v>
                </c:pt>
                <c:pt idx="9">
                  <c:v>Simple Metal Dog Art Sculpture Decoration For Home Office</c:v>
                </c:pt>
              </c:strCache>
            </c:strRef>
          </c:cat>
          <c:val>
            <c:numRef>
              <c:f>'Trend Analysis'!$B$56:$B$66</c:f>
              <c:numCache>
                <c:formatCode>General</c:formatCode>
                <c:ptCount val="10"/>
                <c:pt idx="0">
                  <c:v>0.53</c:v>
                </c:pt>
                <c:pt idx="1">
                  <c:v>0.55</c:v>
                </c:pt>
                <c:pt idx="2">
                  <c:v>0.64</c:v>
                </c:pt>
                <c:pt idx="3">
                  <c:v>0.98</c:v>
                </c:pt>
                <c:pt idx="4">
                  <c:v>0.53</c:v>
                </c:pt>
                <c:pt idx="5">
                  <c:v>1.1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3352725"/>
        <c:axId val="905152635"/>
      </c:barChart>
      <c:catAx>
        <c:axId val="1433527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152635"/>
        <c:crosses val="autoZero"/>
        <c:auto val="1"/>
        <c:lblAlgn val="ctr"/>
        <c:lblOffset val="100"/>
        <c:noMultiLvlLbl val="0"/>
      </c:catAx>
      <c:valAx>
        <c:axId val="9051526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352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5a0a51-0379-4dd2-a42f-8bdc5f2377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844550</xdr:colOff>
      <xdr:row>1</xdr:row>
      <xdr:rowOff>63500</xdr:rowOff>
    </xdr:from>
    <xdr:to>
      <xdr:col>10</xdr:col>
      <xdr:colOff>793750</xdr:colOff>
      <xdr:row>15</xdr:row>
      <xdr:rowOff>139700</xdr:rowOff>
    </xdr:to>
    <xdr:graphicFrame>
      <xdr:nvGraphicFramePr>
        <xdr:cNvPr id="2" name="Chart 1"/>
        <xdr:cNvGraphicFramePr/>
      </xdr:nvGraphicFramePr>
      <xdr:xfrm>
        <a:off x="3378200" y="254000"/>
        <a:ext cx="10789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549275</xdr:colOff>
      <xdr:row>0</xdr:row>
      <xdr:rowOff>9525</xdr:rowOff>
    </xdr:from>
    <xdr:to>
      <xdr:col>17</xdr:col>
      <xdr:colOff>249555</xdr:colOff>
      <xdr:row>33</xdr:row>
      <xdr:rowOff>85725</xdr:rowOff>
    </xdr:to>
    <xdr:graphicFrame>
      <xdr:nvGraphicFramePr>
        <xdr:cNvPr id="3" name="Chart 2"/>
        <xdr:cNvGraphicFramePr/>
      </xdr:nvGraphicFramePr>
      <xdr:xfrm>
        <a:off x="14717395" y="9525"/>
        <a:ext cx="12201525" cy="636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19</xdr:row>
      <xdr:rowOff>22225</xdr:rowOff>
    </xdr:from>
    <xdr:to>
      <xdr:col>3</xdr:col>
      <xdr:colOff>121920</xdr:colOff>
      <xdr:row>33</xdr:row>
      <xdr:rowOff>98425</xdr:rowOff>
    </xdr:to>
    <xdr:graphicFrame>
      <xdr:nvGraphicFramePr>
        <xdr:cNvPr id="2" name="Chart 1"/>
        <xdr:cNvGraphicFramePr/>
      </xdr:nvGraphicFramePr>
      <xdr:xfrm>
        <a:off x="635" y="3660775"/>
        <a:ext cx="8227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35</xdr:row>
      <xdr:rowOff>22225</xdr:rowOff>
    </xdr:from>
    <xdr:to>
      <xdr:col>3</xdr:col>
      <xdr:colOff>121920</xdr:colOff>
      <xdr:row>49</xdr:row>
      <xdr:rowOff>98425</xdr:rowOff>
    </xdr:to>
    <xdr:graphicFrame>
      <xdr:nvGraphicFramePr>
        <xdr:cNvPr id="3" name="Chart 2"/>
        <xdr:cNvGraphicFramePr/>
      </xdr:nvGraphicFramePr>
      <xdr:xfrm>
        <a:off x="635" y="6718300"/>
        <a:ext cx="8227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6</xdr:row>
      <xdr:rowOff>184150</xdr:rowOff>
    </xdr:from>
    <xdr:to>
      <xdr:col>11</xdr:col>
      <xdr:colOff>147955</xdr:colOff>
      <xdr:row>21</xdr:row>
      <xdr:rowOff>60325</xdr:rowOff>
    </xdr:to>
    <xdr:graphicFrame>
      <xdr:nvGraphicFramePr>
        <xdr:cNvPr id="4" name="Chart 3"/>
        <xdr:cNvGraphicFramePr/>
      </xdr:nvGraphicFramePr>
      <xdr:xfrm>
        <a:off x="18933160" y="1336675"/>
        <a:ext cx="48247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314325</xdr:colOff>
      <xdr:row>22</xdr:row>
      <xdr:rowOff>60325</xdr:rowOff>
    </xdr:from>
    <xdr:to>
      <xdr:col>10</xdr:col>
      <xdr:colOff>1482725</xdr:colOff>
      <xdr:row>36</xdr:row>
      <xdr:rowOff>127000</xdr:rowOff>
    </xdr:to>
    <xdr:graphicFrame>
      <xdr:nvGraphicFramePr>
        <xdr:cNvPr id="9" name="Chart 8"/>
        <xdr:cNvGraphicFramePr/>
      </xdr:nvGraphicFramePr>
      <xdr:xfrm>
        <a:off x="18620105" y="4270375"/>
        <a:ext cx="48247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200025</xdr:colOff>
      <xdr:row>39</xdr:row>
      <xdr:rowOff>3175</xdr:rowOff>
    </xdr:from>
    <xdr:to>
      <xdr:col>10</xdr:col>
      <xdr:colOff>1369695</xdr:colOff>
      <xdr:row>53</xdr:row>
      <xdr:rowOff>79375</xdr:rowOff>
    </xdr:to>
    <xdr:graphicFrame>
      <xdr:nvGraphicFramePr>
        <xdr:cNvPr id="11" name="Chart 10"/>
        <xdr:cNvGraphicFramePr/>
      </xdr:nvGraphicFramePr>
      <xdr:xfrm>
        <a:off x="18505805" y="7461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28575</xdr:colOff>
      <xdr:row>9</xdr:row>
      <xdr:rowOff>76200</xdr:rowOff>
    </xdr:from>
    <xdr:to>
      <xdr:col>15</xdr:col>
      <xdr:colOff>588645</xdr:colOff>
      <xdr:row>23</xdr:row>
      <xdr:rowOff>152400</xdr:rowOff>
    </xdr:to>
    <xdr:graphicFrame>
      <xdr:nvGraphicFramePr>
        <xdr:cNvPr id="2" name="Chart 1"/>
        <xdr:cNvGraphicFramePr/>
      </xdr:nvGraphicFramePr>
      <xdr:xfrm>
        <a:off x="8220075" y="1838325"/>
        <a:ext cx="48272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0</xdr:rowOff>
    </xdr:from>
    <xdr:to>
      <xdr:col>15</xdr:col>
      <xdr:colOff>588645</xdr:colOff>
      <xdr:row>39</xdr:row>
      <xdr:rowOff>76200</xdr:rowOff>
    </xdr:to>
    <xdr:graphicFrame>
      <xdr:nvGraphicFramePr>
        <xdr:cNvPr id="3" name="Chart 2"/>
        <xdr:cNvGraphicFramePr/>
      </xdr:nvGraphicFramePr>
      <xdr:xfrm>
        <a:off x="8220075" y="4810125"/>
        <a:ext cx="48272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12700</xdr:colOff>
      <xdr:row>3</xdr:row>
      <xdr:rowOff>15875</xdr:rowOff>
    </xdr:from>
    <xdr:to>
      <xdr:col>11</xdr:col>
      <xdr:colOff>21590</xdr:colOff>
      <xdr:row>9</xdr:row>
      <xdr:rowOff>67310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iscount 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ount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4200" y="587375"/>
              <a:ext cx="183769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200025</xdr:colOff>
      <xdr:row>2</xdr:row>
      <xdr:rowOff>173355</xdr:rowOff>
    </xdr:from>
    <xdr:to>
      <xdr:col>14</xdr:col>
      <xdr:colOff>285115</xdr:colOff>
      <xdr:row>9</xdr:row>
      <xdr:rowOff>52070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ating 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554355"/>
              <a:ext cx="1913890" cy="125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</xdr:col>
      <xdr:colOff>457200</xdr:colOff>
      <xdr:row>0</xdr:row>
      <xdr:rowOff>47625</xdr:rowOff>
    </xdr:from>
    <xdr:ext cx="6127750" cy="457200"/>
    <xdr:sp>
      <xdr:nvSpPr>
        <xdr:cNvPr id="8" name="Text Box 7"/>
        <xdr:cNvSpPr txBox="1"/>
      </xdr:nvSpPr>
      <xdr:spPr>
        <a:xfrm>
          <a:off x="2590800" y="47625"/>
          <a:ext cx="6127750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rthographicFront"/>
            <a:lightRig rig="threePt" dir="t"/>
          </a:scene3d>
        </a:bodyPr>
        <a:p>
          <a:pPr algn="l"/>
          <a:r>
            <a:rPr lang="en-US" sz="2200">
              <a:ln w="15875"/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2700000" scaled="0"/>
              </a:gradFill>
              <a:effectLst/>
              <a:latin typeface="Arial Black" panose="020B0A04020102020204" charset="0"/>
              <a:cs typeface="Arial Black" panose="020B0A04020102020204" charset="0"/>
            </a:rPr>
            <a:t>JUMIA SALES ANALYSIS DASHBOARD </a:t>
          </a:r>
          <a:endParaRPr lang="en-US" sz="2200">
            <a:ln w="15875"/>
            <a:gradFill>
              <a:gsLst>
                <a:gs pos="0">
                  <a:schemeClr val="accent1"/>
                </a:gs>
                <a:gs pos="100000">
                  <a:schemeClr val="accent6"/>
                </a:gs>
              </a:gsLst>
              <a:lin ang="2700000" scaled="0"/>
            </a:gradFill>
            <a:effectLst/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oneCellAnchor>
  <xdr:twoCellAnchor>
    <xdr:from>
      <xdr:col>4</xdr:col>
      <xdr:colOff>19050</xdr:colOff>
      <xdr:row>17</xdr:row>
      <xdr:rowOff>19050</xdr:rowOff>
    </xdr:from>
    <xdr:to>
      <xdr:col>7</xdr:col>
      <xdr:colOff>5080</xdr:colOff>
      <xdr:row>26</xdr:row>
      <xdr:rowOff>172085</xdr:rowOff>
    </xdr:to>
    <xdr:graphicFrame>
      <xdr:nvGraphicFramePr>
        <xdr:cNvPr id="9" name="Chart 8"/>
        <xdr:cNvGraphicFramePr/>
      </xdr:nvGraphicFramePr>
      <xdr:xfrm>
        <a:off x="4029075" y="3305175"/>
        <a:ext cx="3557905" cy="1867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600075</xdr:colOff>
      <xdr:row>28</xdr:row>
      <xdr:rowOff>9525</xdr:rowOff>
    </xdr:from>
    <xdr:to>
      <xdr:col>6</xdr:col>
      <xdr:colOff>1577975</xdr:colOff>
      <xdr:row>39</xdr:row>
      <xdr:rowOff>19050</xdr:rowOff>
    </xdr:to>
    <xdr:graphicFrame>
      <xdr:nvGraphicFramePr>
        <xdr:cNvPr id="10" name="Chart 9"/>
        <xdr:cNvGraphicFramePr/>
      </xdr:nvGraphicFramePr>
      <xdr:xfrm>
        <a:off x="4000500" y="5391150"/>
        <a:ext cx="3559175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16</xdr:row>
      <xdr:rowOff>123190</xdr:rowOff>
    </xdr:from>
    <xdr:to>
      <xdr:col>3</xdr:col>
      <xdr:colOff>567690</xdr:colOff>
      <xdr:row>25</xdr:row>
      <xdr:rowOff>75565</xdr:rowOff>
    </xdr:to>
    <xdr:graphicFrame>
      <xdr:nvGraphicFramePr>
        <xdr:cNvPr id="11" name="Chart 10"/>
        <xdr:cNvGraphicFramePr/>
      </xdr:nvGraphicFramePr>
      <xdr:xfrm>
        <a:off x="9525" y="3218815"/>
        <a:ext cx="3958590" cy="1666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6</xdr:row>
      <xdr:rowOff>180340</xdr:rowOff>
    </xdr:from>
    <xdr:to>
      <xdr:col>3</xdr:col>
      <xdr:colOff>539115</xdr:colOff>
      <xdr:row>16</xdr:row>
      <xdr:rowOff>29210</xdr:rowOff>
    </xdr:to>
    <xdr:graphicFrame>
      <xdr:nvGraphicFramePr>
        <xdr:cNvPr id="12" name="Chart 11"/>
        <xdr:cNvGraphicFramePr/>
      </xdr:nvGraphicFramePr>
      <xdr:xfrm>
        <a:off x="9525" y="1370965"/>
        <a:ext cx="3930015" cy="175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600075</xdr:colOff>
      <xdr:row>6</xdr:row>
      <xdr:rowOff>161925</xdr:rowOff>
    </xdr:from>
    <xdr:to>
      <xdr:col>6</xdr:col>
      <xdr:colOff>1596390</xdr:colOff>
      <xdr:row>16</xdr:row>
      <xdr:rowOff>123825</xdr:rowOff>
    </xdr:to>
    <xdr:graphicFrame>
      <xdr:nvGraphicFramePr>
        <xdr:cNvPr id="13" name="Chart 12"/>
        <xdr:cNvGraphicFramePr/>
      </xdr:nvGraphicFramePr>
      <xdr:xfrm>
        <a:off x="4000500" y="1352550"/>
        <a:ext cx="3577590" cy="186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</xdr:colOff>
      <xdr:row>25</xdr:row>
      <xdr:rowOff>172085</xdr:rowOff>
    </xdr:from>
    <xdr:to>
      <xdr:col>3</xdr:col>
      <xdr:colOff>502285</xdr:colOff>
      <xdr:row>41</xdr:row>
      <xdr:rowOff>9525</xdr:rowOff>
    </xdr:to>
    <xdr:graphicFrame>
      <xdr:nvGraphicFramePr>
        <xdr:cNvPr id="14" name="Chart 13"/>
        <xdr:cNvGraphicFramePr/>
      </xdr:nvGraphicFramePr>
      <xdr:xfrm>
        <a:off x="635" y="4982210"/>
        <a:ext cx="390207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2.4681944444" refreshedBy="stacy" recordCount="113">
  <cacheSource type="worksheet">
    <worksheetSource ref="A1:J1048576" sheet="Staging Data "/>
  </cacheSource>
  <cacheFields count="10">
    <cacheField name="Product " numFmtId="0">
      <sharedItems containsBlank="1" count="110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ksh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  <m/>
      </sharedItems>
    </cacheField>
    <cacheField name="Current price" numFmtId="178">
      <sharedItems containsString="0" containsBlank="1" containsNumber="1" containsInteger="1" minValue="38" maxValue="3750" count="104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n v="180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3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76"/>
        <n v="1466"/>
        <n v="274"/>
        <n v="657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  <m/>
      </sharedItems>
    </cacheField>
    <cacheField name="old price" numFmtId="178">
      <sharedItems containsString="0" containsBlank="1" containsNumber="1" containsInteger="1" minValue="80" maxValue="6143" count="94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n v="27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896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345"/>
        <n v="537"/>
        <n v="1288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  <m/>
      </sharedItems>
    </cacheField>
    <cacheField name="Discount" numFmtId="9">
      <sharedItems containsString="0" containsBlank="1" containsNumber="1" minValue="0.01" maxValue="0.64" count="47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  <m/>
      </sharedItems>
    </cacheField>
    <cacheField name="Review" numFmtId="0">
      <sharedItems containsString="0" containsBlank="1" containsNumber="1" containsInteger="1" minValue="-69" maxValue="0" count="25">
        <n v="-2"/>
        <n v="-14"/>
        <n v="-24"/>
        <n v="-7"/>
        <n v="-5"/>
        <n v="-15"/>
        <n v="-55"/>
        <n v="-12"/>
        <n v="-39"/>
        <n v="-6"/>
        <n v="-9"/>
        <n v="-3"/>
        <n v="-44"/>
        <n v="-13"/>
        <n v="0"/>
        <n v="-49"/>
        <n v="-20"/>
        <n v="-32"/>
        <n v="-1"/>
        <n v="-36"/>
        <n v="-10"/>
        <n v="-69"/>
        <n v="-16"/>
        <n v="-17"/>
        <m/>
      </sharedItems>
    </cacheField>
    <cacheField name="Rating  " numFmtId="0">
      <sharedItems containsString="0" containsBlank="1" containsNumber="1" minValue="0" maxValue="5" count="24">
        <n v="4.5"/>
        <n v="4.1"/>
        <n v="4.6"/>
        <n v="4.7"/>
        <n v="4.8"/>
        <n v="4"/>
        <n v="3.8"/>
        <n v="4.2"/>
        <n v="5"/>
        <n v="3.3"/>
        <n v="0"/>
        <n v="4.4"/>
        <n v="4.3"/>
        <n v="2.5"/>
        <n v="3"/>
        <n v="2.1"/>
        <n v="2.8"/>
        <n v="2.7"/>
        <n v="2.9"/>
        <n v="2.2"/>
        <n v="2.3"/>
        <n v="2.6"/>
        <n v="2"/>
        <m/>
      </sharedItems>
    </cacheField>
    <cacheField name="Abs Reviews " numFmtId="0">
      <sharedItems containsString="0" containsBlank="1" containsNumber="1" containsInteger="1" minValue="0" maxValue="69" count="25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n v="0"/>
        <n v="49"/>
        <n v="20"/>
        <n v="32"/>
        <n v="1"/>
        <n v="36"/>
        <n v="10"/>
        <n v="69"/>
        <n v="16"/>
        <n v="17"/>
        <m/>
      </sharedItems>
    </cacheField>
    <cacheField name="Discount Amount " numFmtId="0">
      <sharedItems containsString="0" containsBlank="1" containsNumber="1" containsInteger="1" minValue="24" maxValue="2585" count="104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n v="900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497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169"/>
        <n v="233"/>
        <n v="263"/>
        <n v="101"/>
        <n v="63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  <m/>
      </sharedItems>
    </cacheField>
    <cacheField name="Rating Category " numFmtId="0">
      <sharedItems containsBlank="1" count="4">
        <s v="Excellent"/>
        <s v="Average "/>
        <s v="Poor"/>
        <m/>
      </sharedItems>
    </cacheField>
    <cacheField name="Discount Category " numFmtId="0">
      <sharedItems containsBlank="1" count="4">
        <s v="Medium"/>
        <s v="High"/>
        <s v="Low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5.4944791667" refreshedBy="stacy" recordCount="112">
  <cacheSource type="worksheet">
    <worksheetSource ref="A1:J113" sheet="Staging Data "/>
  </cacheSource>
  <cacheFields count="10">
    <cacheField name="Product " numFmtId="0">
      <sharedItems count="109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ksh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</sharedItems>
    </cacheField>
    <cacheField name="Current price" numFmtId="178">
      <sharedItems containsSemiMixedTypes="0" containsString="0" containsNumber="1" containsInteger="1" minValue="38" maxValue="3750" count="103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n v="180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3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76"/>
        <n v="1466"/>
        <n v="274"/>
        <n v="657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</sharedItems>
    </cacheField>
    <cacheField name="old price" numFmtId="178">
      <sharedItems containsSemiMixedTypes="0" containsString="0" containsNumber="1" containsInteger="1" minValue="80" maxValue="6143" count="93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n v="27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896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345"/>
        <n v="537"/>
        <n v="1288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</sharedItems>
    </cacheField>
    <cacheField name="Discount" numFmtId="9">
      <sharedItems containsSemiMixedTypes="0" containsString="0" containsNumber="1" minValue="0.01" maxValue="0.64" count="46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</sharedItems>
    </cacheField>
    <cacheField name="Review" numFmtId="0">
      <sharedItems containsSemiMixedTypes="0" containsString="0" containsNumber="1" containsInteger="1" minValue="-69" maxValue="0" count="24">
        <n v="-2"/>
        <n v="-14"/>
        <n v="-24"/>
        <n v="-7"/>
        <n v="-5"/>
        <n v="-15"/>
        <n v="-55"/>
        <n v="-12"/>
        <n v="-39"/>
        <n v="-6"/>
        <n v="-9"/>
        <n v="-3"/>
        <n v="-44"/>
        <n v="-13"/>
        <n v="0"/>
        <n v="-49"/>
        <n v="-20"/>
        <n v="-32"/>
        <n v="-1"/>
        <n v="-36"/>
        <n v="-10"/>
        <n v="-69"/>
        <n v="-16"/>
        <n v="-17"/>
      </sharedItems>
    </cacheField>
    <cacheField name="Rating  " numFmtId="0">
      <sharedItems containsSemiMixedTypes="0" containsString="0" containsNumber="1" minValue="0" maxValue="5" count="23">
        <n v="4.5"/>
        <n v="4.1"/>
        <n v="4.6"/>
        <n v="4.7"/>
        <n v="4.8"/>
        <n v="4"/>
        <n v="3.8"/>
        <n v="4.2"/>
        <n v="5"/>
        <n v="3.3"/>
        <n v="0"/>
        <n v="4.4"/>
        <n v="4.3"/>
        <n v="2.5"/>
        <n v="3"/>
        <n v="2.1"/>
        <n v="2.8"/>
        <n v="2.7"/>
        <n v="2.9"/>
        <n v="2.2"/>
        <n v="2.3"/>
        <n v="2.6"/>
        <n v="2"/>
      </sharedItems>
    </cacheField>
    <cacheField name="Abs Reviews " numFmtId="0">
      <sharedItems containsSemiMixedTypes="0" containsString="0" containsNumber="1" containsInteger="1" minValue="0" maxValue="69" count="24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n v="0"/>
        <n v="49"/>
        <n v="20"/>
        <n v="32"/>
        <n v="1"/>
        <n v="36"/>
        <n v="10"/>
        <n v="69"/>
        <n v="16"/>
        <n v="17"/>
      </sharedItems>
    </cacheField>
    <cacheField name="Discount Amount " numFmtId="0">
      <sharedItems containsSemiMixedTypes="0" containsString="0" containsNumber="1" containsInteger="1" minValue="24" maxValue="2585" count="103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n v="900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497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169"/>
        <n v="233"/>
        <n v="263"/>
        <n v="101"/>
        <n v="63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</sharedItems>
    </cacheField>
    <cacheField name="Rating Category " numFmtId="0">
      <sharedItems count="3">
        <s v="Excellent"/>
        <s v="Average "/>
        <s v="Poor"/>
      </sharedItems>
    </cacheField>
    <cacheField name="Discount Category 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0"/>
  </r>
  <r>
    <x v="3"/>
    <x v="3"/>
    <x v="3"/>
    <x v="3"/>
    <x v="3"/>
    <x v="3"/>
    <x v="3"/>
    <x v="3"/>
    <x v="0"/>
    <x v="0"/>
  </r>
  <r>
    <x v="4"/>
    <x v="4"/>
    <x v="4"/>
    <x v="4"/>
    <x v="4"/>
    <x v="4"/>
    <x v="4"/>
    <x v="4"/>
    <x v="0"/>
    <x v="0"/>
  </r>
  <r>
    <x v="5"/>
    <x v="5"/>
    <x v="5"/>
    <x v="5"/>
    <x v="5"/>
    <x v="5"/>
    <x v="5"/>
    <x v="5"/>
    <x v="1"/>
    <x v="2"/>
  </r>
  <r>
    <x v="6"/>
    <x v="6"/>
    <x v="6"/>
    <x v="6"/>
    <x v="6"/>
    <x v="2"/>
    <x v="6"/>
    <x v="6"/>
    <x v="0"/>
    <x v="0"/>
  </r>
  <r>
    <x v="7"/>
    <x v="7"/>
    <x v="7"/>
    <x v="3"/>
    <x v="0"/>
    <x v="5"/>
    <x v="0"/>
    <x v="7"/>
    <x v="1"/>
    <x v="0"/>
  </r>
  <r>
    <x v="8"/>
    <x v="8"/>
    <x v="8"/>
    <x v="7"/>
    <x v="4"/>
    <x v="4"/>
    <x v="4"/>
    <x v="8"/>
    <x v="0"/>
    <x v="1"/>
  </r>
  <r>
    <x v="9"/>
    <x v="9"/>
    <x v="9"/>
    <x v="8"/>
    <x v="4"/>
    <x v="6"/>
    <x v="4"/>
    <x v="9"/>
    <x v="1"/>
    <x v="1"/>
  </r>
  <r>
    <x v="10"/>
    <x v="10"/>
    <x v="1"/>
    <x v="9"/>
    <x v="7"/>
    <x v="1"/>
    <x v="7"/>
    <x v="10"/>
    <x v="1"/>
    <x v="0"/>
  </r>
  <r>
    <x v="11"/>
    <x v="11"/>
    <x v="10"/>
    <x v="10"/>
    <x v="8"/>
    <x v="3"/>
    <x v="8"/>
    <x v="11"/>
    <x v="0"/>
    <x v="0"/>
  </r>
  <r>
    <x v="12"/>
    <x v="12"/>
    <x v="11"/>
    <x v="1"/>
    <x v="7"/>
    <x v="4"/>
    <x v="7"/>
    <x v="12"/>
    <x v="0"/>
    <x v="1"/>
  </r>
  <r>
    <x v="13"/>
    <x v="13"/>
    <x v="12"/>
    <x v="11"/>
    <x v="9"/>
    <x v="0"/>
    <x v="9"/>
    <x v="13"/>
    <x v="0"/>
    <x v="1"/>
  </r>
  <r>
    <x v="14"/>
    <x v="14"/>
    <x v="3"/>
    <x v="12"/>
    <x v="10"/>
    <x v="7"/>
    <x v="10"/>
    <x v="14"/>
    <x v="1"/>
    <x v="0"/>
  </r>
  <r>
    <x v="15"/>
    <x v="15"/>
    <x v="13"/>
    <x v="13"/>
    <x v="0"/>
    <x v="8"/>
    <x v="0"/>
    <x v="15"/>
    <x v="0"/>
    <x v="1"/>
  </r>
  <r>
    <x v="16"/>
    <x v="16"/>
    <x v="14"/>
    <x v="14"/>
    <x v="0"/>
    <x v="8"/>
    <x v="0"/>
    <x v="16"/>
    <x v="0"/>
    <x v="1"/>
  </r>
  <r>
    <x v="17"/>
    <x v="17"/>
    <x v="15"/>
    <x v="15"/>
    <x v="11"/>
    <x v="8"/>
    <x v="11"/>
    <x v="17"/>
    <x v="0"/>
    <x v="1"/>
  </r>
  <r>
    <x v="18"/>
    <x v="5"/>
    <x v="16"/>
    <x v="16"/>
    <x v="4"/>
    <x v="2"/>
    <x v="4"/>
    <x v="18"/>
    <x v="0"/>
    <x v="2"/>
  </r>
  <r>
    <x v="19"/>
    <x v="18"/>
    <x v="17"/>
    <x v="15"/>
    <x v="12"/>
    <x v="2"/>
    <x v="12"/>
    <x v="19"/>
    <x v="0"/>
    <x v="1"/>
  </r>
  <r>
    <x v="20"/>
    <x v="19"/>
    <x v="18"/>
    <x v="17"/>
    <x v="13"/>
    <x v="9"/>
    <x v="13"/>
    <x v="20"/>
    <x v="1"/>
    <x v="1"/>
  </r>
  <r>
    <x v="21"/>
    <x v="20"/>
    <x v="19"/>
    <x v="11"/>
    <x v="14"/>
    <x v="10"/>
    <x v="14"/>
    <x v="21"/>
    <x v="2"/>
    <x v="1"/>
  </r>
  <r>
    <x v="22"/>
    <x v="21"/>
    <x v="20"/>
    <x v="18"/>
    <x v="9"/>
    <x v="5"/>
    <x v="9"/>
    <x v="22"/>
    <x v="1"/>
    <x v="0"/>
  </r>
  <r>
    <x v="23"/>
    <x v="22"/>
    <x v="21"/>
    <x v="19"/>
    <x v="1"/>
    <x v="11"/>
    <x v="1"/>
    <x v="23"/>
    <x v="1"/>
    <x v="0"/>
  </r>
  <r>
    <x v="24"/>
    <x v="23"/>
    <x v="22"/>
    <x v="20"/>
    <x v="3"/>
    <x v="12"/>
    <x v="3"/>
    <x v="24"/>
    <x v="1"/>
    <x v="1"/>
  </r>
  <r>
    <x v="25"/>
    <x v="24"/>
    <x v="23"/>
    <x v="18"/>
    <x v="15"/>
    <x v="2"/>
    <x v="15"/>
    <x v="25"/>
    <x v="0"/>
    <x v="0"/>
  </r>
  <r>
    <x v="26"/>
    <x v="25"/>
    <x v="24"/>
    <x v="21"/>
    <x v="7"/>
    <x v="6"/>
    <x v="7"/>
    <x v="26"/>
    <x v="1"/>
    <x v="2"/>
  </r>
  <r>
    <x v="27"/>
    <x v="26"/>
    <x v="25"/>
    <x v="22"/>
    <x v="13"/>
    <x v="6"/>
    <x v="13"/>
    <x v="26"/>
    <x v="1"/>
    <x v="0"/>
  </r>
  <r>
    <x v="28"/>
    <x v="27"/>
    <x v="3"/>
    <x v="23"/>
    <x v="16"/>
    <x v="1"/>
    <x v="16"/>
    <x v="27"/>
    <x v="1"/>
    <x v="0"/>
  </r>
  <r>
    <x v="29"/>
    <x v="28"/>
    <x v="26"/>
    <x v="14"/>
    <x v="14"/>
    <x v="10"/>
    <x v="14"/>
    <x v="28"/>
    <x v="2"/>
    <x v="1"/>
  </r>
  <r>
    <x v="30"/>
    <x v="29"/>
    <x v="27"/>
    <x v="24"/>
    <x v="10"/>
    <x v="12"/>
    <x v="10"/>
    <x v="29"/>
    <x v="1"/>
    <x v="1"/>
  </r>
  <r>
    <x v="31"/>
    <x v="30"/>
    <x v="28"/>
    <x v="10"/>
    <x v="7"/>
    <x v="3"/>
    <x v="7"/>
    <x v="11"/>
    <x v="0"/>
    <x v="0"/>
  </r>
  <r>
    <x v="32"/>
    <x v="31"/>
    <x v="29"/>
    <x v="25"/>
    <x v="10"/>
    <x v="12"/>
    <x v="10"/>
    <x v="30"/>
    <x v="1"/>
    <x v="1"/>
  </r>
  <r>
    <x v="33"/>
    <x v="32"/>
    <x v="30"/>
    <x v="26"/>
    <x v="16"/>
    <x v="3"/>
    <x v="16"/>
    <x v="31"/>
    <x v="0"/>
    <x v="0"/>
  </r>
  <r>
    <x v="34"/>
    <x v="33"/>
    <x v="31"/>
    <x v="26"/>
    <x v="17"/>
    <x v="0"/>
    <x v="17"/>
    <x v="32"/>
    <x v="0"/>
    <x v="0"/>
  </r>
  <r>
    <x v="35"/>
    <x v="34"/>
    <x v="32"/>
    <x v="27"/>
    <x v="18"/>
    <x v="8"/>
    <x v="18"/>
    <x v="33"/>
    <x v="0"/>
    <x v="0"/>
  </r>
  <r>
    <x v="36"/>
    <x v="35"/>
    <x v="14"/>
    <x v="17"/>
    <x v="0"/>
    <x v="8"/>
    <x v="0"/>
    <x v="34"/>
    <x v="0"/>
    <x v="1"/>
  </r>
  <r>
    <x v="37"/>
    <x v="36"/>
    <x v="33"/>
    <x v="28"/>
    <x v="19"/>
    <x v="12"/>
    <x v="19"/>
    <x v="35"/>
    <x v="1"/>
    <x v="1"/>
  </r>
  <r>
    <x v="38"/>
    <x v="37"/>
    <x v="34"/>
    <x v="0"/>
    <x v="0"/>
    <x v="0"/>
    <x v="0"/>
    <x v="36"/>
    <x v="0"/>
    <x v="0"/>
  </r>
  <r>
    <x v="39"/>
    <x v="38"/>
    <x v="35"/>
    <x v="0"/>
    <x v="14"/>
    <x v="10"/>
    <x v="14"/>
    <x v="37"/>
    <x v="2"/>
    <x v="0"/>
  </r>
  <r>
    <x v="40"/>
    <x v="39"/>
    <x v="36"/>
    <x v="15"/>
    <x v="14"/>
    <x v="10"/>
    <x v="14"/>
    <x v="38"/>
    <x v="2"/>
    <x v="1"/>
  </r>
  <r>
    <x v="41"/>
    <x v="40"/>
    <x v="37"/>
    <x v="29"/>
    <x v="14"/>
    <x v="10"/>
    <x v="14"/>
    <x v="39"/>
    <x v="2"/>
    <x v="1"/>
  </r>
  <r>
    <x v="42"/>
    <x v="41"/>
    <x v="38"/>
    <x v="11"/>
    <x v="14"/>
    <x v="10"/>
    <x v="14"/>
    <x v="40"/>
    <x v="2"/>
    <x v="1"/>
  </r>
  <r>
    <x v="43"/>
    <x v="42"/>
    <x v="39"/>
    <x v="30"/>
    <x v="14"/>
    <x v="10"/>
    <x v="14"/>
    <x v="41"/>
    <x v="2"/>
    <x v="2"/>
  </r>
  <r>
    <x v="44"/>
    <x v="43"/>
    <x v="40"/>
    <x v="29"/>
    <x v="14"/>
    <x v="10"/>
    <x v="14"/>
    <x v="42"/>
    <x v="2"/>
    <x v="1"/>
  </r>
  <r>
    <x v="45"/>
    <x v="44"/>
    <x v="41"/>
    <x v="12"/>
    <x v="14"/>
    <x v="10"/>
    <x v="14"/>
    <x v="43"/>
    <x v="2"/>
    <x v="0"/>
  </r>
  <r>
    <x v="46"/>
    <x v="45"/>
    <x v="42"/>
    <x v="15"/>
    <x v="14"/>
    <x v="10"/>
    <x v="14"/>
    <x v="44"/>
    <x v="2"/>
    <x v="1"/>
  </r>
  <r>
    <x v="47"/>
    <x v="46"/>
    <x v="43"/>
    <x v="0"/>
    <x v="14"/>
    <x v="10"/>
    <x v="14"/>
    <x v="45"/>
    <x v="2"/>
    <x v="0"/>
  </r>
  <r>
    <x v="48"/>
    <x v="47"/>
    <x v="44"/>
    <x v="31"/>
    <x v="14"/>
    <x v="10"/>
    <x v="14"/>
    <x v="46"/>
    <x v="2"/>
    <x v="1"/>
  </r>
  <r>
    <x v="49"/>
    <x v="48"/>
    <x v="45"/>
    <x v="29"/>
    <x v="14"/>
    <x v="10"/>
    <x v="14"/>
    <x v="47"/>
    <x v="2"/>
    <x v="1"/>
  </r>
  <r>
    <x v="50"/>
    <x v="49"/>
    <x v="46"/>
    <x v="30"/>
    <x v="14"/>
    <x v="10"/>
    <x v="14"/>
    <x v="48"/>
    <x v="2"/>
    <x v="2"/>
  </r>
  <r>
    <x v="51"/>
    <x v="48"/>
    <x v="47"/>
    <x v="32"/>
    <x v="14"/>
    <x v="10"/>
    <x v="14"/>
    <x v="49"/>
    <x v="2"/>
    <x v="0"/>
  </r>
  <r>
    <x v="52"/>
    <x v="50"/>
    <x v="48"/>
    <x v="33"/>
    <x v="14"/>
    <x v="10"/>
    <x v="14"/>
    <x v="50"/>
    <x v="2"/>
    <x v="2"/>
  </r>
  <r>
    <x v="53"/>
    <x v="10"/>
    <x v="49"/>
    <x v="28"/>
    <x v="14"/>
    <x v="10"/>
    <x v="14"/>
    <x v="51"/>
    <x v="2"/>
    <x v="1"/>
  </r>
  <r>
    <x v="54"/>
    <x v="51"/>
    <x v="50"/>
    <x v="8"/>
    <x v="14"/>
    <x v="10"/>
    <x v="14"/>
    <x v="52"/>
    <x v="2"/>
    <x v="1"/>
  </r>
  <r>
    <x v="55"/>
    <x v="52"/>
    <x v="49"/>
    <x v="25"/>
    <x v="14"/>
    <x v="10"/>
    <x v="14"/>
    <x v="53"/>
    <x v="2"/>
    <x v="1"/>
  </r>
  <r>
    <x v="56"/>
    <x v="10"/>
    <x v="51"/>
    <x v="15"/>
    <x v="14"/>
    <x v="10"/>
    <x v="14"/>
    <x v="54"/>
    <x v="2"/>
    <x v="1"/>
  </r>
  <r>
    <x v="57"/>
    <x v="53"/>
    <x v="52"/>
    <x v="26"/>
    <x v="14"/>
    <x v="10"/>
    <x v="14"/>
    <x v="55"/>
    <x v="2"/>
    <x v="0"/>
  </r>
  <r>
    <x v="54"/>
    <x v="54"/>
    <x v="53"/>
    <x v="7"/>
    <x v="14"/>
    <x v="10"/>
    <x v="14"/>
    <x v="56"/>
    <x v="2"/>
    <x v="1"/>
  </r>
  <r>
    <x v="58"/>
    <x v="55"/>
    <x v="54"/>
    <x v="34"/>
    <x v="9"/>
    <x v="13"/>
    <x v="9"/>
    <x v="57"/>
    <x v="2"/>
    <x v="2"/>
  </r>
  <r>
    <x v="59"/>
    <x v="56"/>
    <x v="55"/>
    <x v="20"/>
    <x v="20"/>
    <x v="14"/>
    <x v="20"/>
    <x v="58"/>
    <x v="1"/>
    <x v="1"/>
  </r>
  <r>
    <x v="60"/>
    <x v="57"/>
    <x v="56"/>
    <x v="7"/>
    <x v="13"/>
    <x v="15"/>
    <x v="13"/>
    <x v="59"/>
    <x v="2"/>
    <x v="1"/>
  </r>
  <r>
    <x v="61"/>
    <x v="58"/>
    <x v="57"/>
    <x v="15"/>
    <x v="21"/>
    <x v="16"/>
    <x v="21"/>
    <x v="60"/>
    <x v="2"/>
    <x v="1"/>
  </r>
  <r>
    <x v="62"/>
    <x v="59"/>
    <x v="58"/>
    <x v="24"/>
    <x v="5"/>
    <x v="17"/>
    <x v="5"/>
    <x v="61"/>
    <x v="2"/>
    <x v="1"/>
  </r>
  <r>
    <x v="63"/>
    <x v="60"/>
    <x v="59"/>
    <x v="32"/>
    <x v="22"/>
    <x v="18"/>
    <x v="22"/>
    <x v="62"/>
    <x v="2"/>
    <x v="0"/>
  </r>
  <r>
    <x v="64"/>
    <x v="11"/>
    <x v="60"/>
    <x v="8"/>
    <x v="9"/>
    <x v="19"/>
    <x v="9"/>
    <x v="63"/>
    <x v="2"/>
    <x v="1"/>
  </r>
  <r>
    <x v="65"/>
    <x v="61"/>
    <x v="40"/>
    <x v="29"/>
    <x v="3"/>
    <x v="20"/>
    <x v="3"/>
    <x v="64"/>
    <x v="2"/>
    <x v="1"/>
  </r>
  <r>
    <x v="66"/>
    <x v="62"/>
    <x v="61"/>
    <x v="35"/>
    <x v="4"/>
    <x v="14"/>
    <x v="4"/>
    <x v="65"/>
    <x v="1"/>
    <x v="0"/>
  </r>
  <r>
    <x v="67"/>
    <x v="63"/>
    <x v="62"/>
    <x v="8"/>
    <x v="23"/>
    <x v="21"/>
    <x v="23"/>
    <x v="66"/>
    <x v="2"/>
    <x v="1"/>
  </r>
  <r>
    <x v="68"/>
    <x v="64"/>
    <x v="63"/>
    <x v="36"/>
    <x v="4"/>
    <x v="14"/>
    <x v="4"/>
    <x v="67"/>
    <x v="1"/>
    <x v="0"/>
  </r>
  <r>
    <x v="69"/>
    <x v="65"/>
    <x v="64"/>
    <x v="37"/>
    <x v="9"/>
    <x v="20"/>
    <x v="9"/>
    <x v="68"/>
    <x v="2"/>
    <x v="1"/>
  </r>
  <r>
    <x v="70"/>
    <x v="66"/>
    <x v="65"/>
    <x v="37"/>
    <x v="4"/>
    <x v="14"/>
    <x v="4"/>
    <x v="69"/>
    <x v="1"/>
    <x v="1"/>
  </r>
  <r>
    <x v="71"/>
    <x v="67"/>
    <x v="60"/>
    <x v="1"/>
    <x v="9"/>
    <x v="19"/>
    <x v="9"/>
    <x v="70"/>
    <x v="2"/>
    <x v="1"/>
  </r>
  <r>
    <x v="72"/>
    <x v="68"/>
    <x v="66"/>
    <x v="1"/>
    <x v="3"/>
    <x v="15"/>
    <x v="3"/>
    <x v="71"/>
    <x v="2"/>
    <x v="1"/>
  </r>
  <r>
    <x v="73"/>
    <x v="69"/>
    <x v="67"/>
    <x v="1"/>
    <x v="14"/>
    <x v="10"/>
    <x v="14"/>
    <x v="72"/>
    <x v="2"/>
    <x v="1"/>
  </r>
  <r>
    <x v="74"/>
    <x v="70"/>
    <x v="68"/>
    <x v="37"/>
    <x v="14"/>
    <x v="10"/>
    <x v="14"/>
    <x v="11"/>
    <x v="2"/>
    <x v="1"/>
  </r>
  <r>
    <x v="75"/>
    <x v="71"/>
    <x v="69"/>
    <x v="38"/>
    <x v="14"/>
    <x v="10"/>
    <x v="14"/>
    <x v="73"/>
    <x v="2"/>
    <x v="2"/>
  </r>
  <r>
    <x v="76"/>
    <x v="72"/>
    <x v="70"/>
    <x v="15"/>
    <x v="14"/>
    <x v="10"/>
    <x v="14"/>
    <x v="74"/>
    <x v="2"/>
    <x v="1"/>
  </r>
  <r>
    <x v="77"/>
    <x v="73"/>
    <x v="71"/>
    <x v="14"/>
    <x v="18"/>
    <x v="14"/>
    <x v="18"/>
    <x v="75"/>
    <x v="1"/>
    <x v="1"/>
  </r>
  <r>
    <x v="78"/>
    <x v="74"/>
    <x v="72"/>
    <x v="15"/>
    <x v="18"/>
    <x v="8"/>
    <x v="18"/>
    <x v="76"/>
    <x v="0"/>
    <x v="1"/>
  </r>
  <r>
    <x v="79"/>
    <x v="75"/>
    <x v="73"/>
    <x v="39"/>
    <x v="14"/>
    <x v="10"/>
    <x v="14"/>
    <x v="77"/>
    <x v="2"/>
    <x v="0"/>
  </r>
  <r>
    <x v="80"/>
    <x v="76"/>
    <x v="46"/>
    <x v="30"/>
    <x v="14"/>
    <x v="10"/>
    <x v="14"/>
    <x v="78"/>
    <x v="2"/>
    <x v="2"/>
  </r>
  <r>
    <x v="81"/>
    <x v="77"/>
    <x v="23"/>
    <x v="15"/>
    <x v="18"/>
    <x v="5"/>
    <x v="18"/>
    <x v="79"/>
    <x v="1"/>
    <x v="1"/>
  </r>
  <r>
    <x v="48"/>
    <x v="78"/>
    <x v="74"/>
    <x v="15"/>
    <x v="14"/>
    <x v="10"/>
    <x v="14"/>
    <x v="80"/>
    <x v="2"/>
    <x v="1"/>
  </r>
  <r>
    <x v="82"/>
    <x v="79"/>
    <x v="46"/>
    <x v="40"/>
    <x v="14"/>
    <x v="10"/>
    <x v="14"/>
    <x v="81"/>
    <x v="2"/>
    <x v="2"/>
  </r>
  <r>
    <x v="83"/>
    <x v="80"/>
    <x v="75"/>
    <x v="15"/>
    <x v="14"/>
    <x v="10"/>
    <x v="14"/>
    <x v="82"/>
    <x v="2"/>
    <x v="1"/>
  </r>
  <r>
    <x v="84"/>
    <x v="10"/>
    <x v="50"/>
    <x v="41"/>
    <x v="14"/>
    <x v="10"/>
    <x v="14"/>
    <x v="83"/>
    <x v="2"/>
    <x v="2"/>
  </r>
  <r>
    <x v="56"/>
    <x v="81"/>
    <x v="76"/>
    <x v="15"/>
    <x v="14"/>
    <x v="10"/>
    <x v="14"/>
    <x v="84"/>
    <x v="2"/>
    <x v="1"/>
  </r>
  <r>
    <x v="85"/>
    <x v="82"/>
    <x v="46"/>
    <x v="40"/>
    <x v="14"/>
    <x v="10"/>
    <x v="14"/>
    <x v="85"/>
    <x v="2"/>
    <x v="2"/>
  </r>
  <r>
    <x v="86"/>
    <x v="83"/>
    <x v="77"/>
    <x v="37"/>
    <x v="14"/>
    <x v="10"/>
    <x v="14"/>
    <x v="22"/>
    <x v="2"/>
    <x v="1"/>
  </r>
  <r>
    <x v="87"/>
    <x v="84"/>
    <x v="78"/>
    <x v="29"/>
    <x v="14"/>
    <x v="10"/>
    <x v="14"/>
    <x v="86"/>
    <x v="2"/>
    <x v="1"/>
  </r>
  <r>
    <x v="88"/>
    <x v="85"/>
    <x v="54"/>
    <x v="25"/>
    <x v="14"/>
    <x v="10"/>
    <x v="14"/>
    <x v="87"/>
    <x v="2"/>
    <x v="1"/>
  </r>
  <r>
    <x v="89"/>
    <x v="86"/>
    <x v="79"/>
    <x v="25"/>
    <x v="14"/>
    <x v="10"/>
    <x v="14"/>
    <x v="88"/>
    <x v="2"/>
    <x v="1"/>
  </r>
  <r>
    <x v="90"/>
    <x v="87"/>
    <x v="46"/>
    <x v="1"/>
    <x v="14"/>
    <x v="10"/>
    <x v="14"/>
    <x v="89"/>
    <x v="2"/>
    <x v="1"/>
  </r>
  <r>
    <x v="91"/>
    <x v="46"/>
    <x v="80"/>
    <x v="29"/>
    <x v="14"/>
    <x v="10"/>
    <x v="14"/>
    <x v="87"/>
    <x v="2"/>
    <x v="1"/>
  </r>
  <r>
    <x v="92"/>
    <x v="88"/>
    <x v="81"/>
    <x v="42"/>
    <x v="14"/>
    <x v="10"/>
    <x v="14"/>
    <x v="90"/>
    <x v="2"/>
    <x v="2"/>
  </r>
  <r>
    <x v="93"/>
    <x v="89"/>
    <x v="48"/>
    <x v="30"/>
    <x v="14"/>
    <x v="10"/>
    <x v="14"/>
    <x v="41"/>
    <x v="2"/>
    <x v="2"/>
  </r>
  <r>
    <x v="94"/>
    <x v="90"/>
    <x v="82"/>
    <x v="15"/>
    <x v="14"/>
    <x v="10"/>
    <x v="14"/>
    <x v="39"/>
    <x v="2"/>
    <x v="1"/>
  </r>
  <r>
    <x v="95"/>
    <x v="91"/>
    <x v="16"/>
    <x v="38"/>
    <x v="14"/>
    <x v="10"/>
    <x v="14"/>
    <x v="91"/>
    <x v="2"/>
    <x v="2"/>
  </r>
  <r>
    <x v="96"/>
    <x v="92"/>
    <x v="83"/>
    <x v="15"/>
    <x v="14"/>
    <x v="10"/>
    <x v="14"/>
    <x v="92"/>
    <x v="2"/>
    <x v="1"/>
  </r>
  <r>
    <x v="97"/>
    <x v="93"/>
    <x v="84"/>
    <x v="11"/>
    <x v="14"/>
    <x v="10"/>
    <x v="14"/>
    <x v="93"/>
    <x v="2"/>
    <x v="1"/>
  </r>
  <r>
    <x v="98"/>
    <x v="94"/>
    <x v="85"/>
    <x v="43"/>
    <x v="18"/>
    <x v="8"/>
    <x v="18"/>
    <x v="94"/>
    <x v="0"/>
    <x v="0"/>
  </r>
  <r>
    <x v="99"/>
    <x v="95"/>
    <x v="86"/>
    <x v="28"/>
    <x v="14"/>
    <x v="10"/>
    <x v="14"/>
    <x v="64"/>
    <x v="2"/>
    <x v="1"/>
  </r>
  <r>
    <x v="100"/>
    <x v="96"/>
    <x v="87"/>
    <x v="44"/>
    <x v="14"/>
    <x v="10"/>
    <x v="14"/>
    <x v="95"/>
    <x v="2"/>
    <x v="2"/>
  </r>
  <r>
    <x v="101"/>
    <x v="97"/>
    <x v="88"/>
    <x v="6"/>
    <x v="14"/>
    <x v="10"/>
    <x v="14"/>
    <x v="96"/>
    <x v="2"/>
    <x v="0"/>
  </r>
  <r>
    <x v="102"/>
    <x v="98"/>
    <x v="89"/>
    <x v="10"/>
    <x v="14"/>
    <x v="10"/>
    <x v="14"/>
    <x v="97"/>
    <x v="2"/>
    <x v="0"/>
  </r>
  <r>
    <x v="103"/>
    <x v="44"/>
    <x v="90"/>
    <x v="10"/>
    <x v="14"/>
    <x v="10"/>
    <x v="14"/>
    <x v="98"/>
    <x v="2"/>
    <x v="0"/>
  </r>
  <r>
    <x v="104"/>
    <x v="99"/>
    <x v="46"/>
    <x v="30"/>
    <x v="14"/>
    <x v="10"/>
    <x v="14"/>
    <x v="99"/>
    <x v="2"/>
    <x v="2"/>
  </r>
  <r>
    <x v="105"/>
    <x v="100"/>
    <x v="69"/>
    <x v="30"/>
    <x v="14"/>
    <x v="10"/>
    <x v="14"/>
    <x v="100"/>
    <x v="2"/>
    <x v="2"/>
  </r>
  <r>
    <x v="106"/>
    <x v="47"/>
    <x v="91"/>
    <x v="45"/>
    <x v="14"/>
    <x v="10"/>
    <x v="14"/>
    <x v="101"/>
    <x v="2"/>
    <x v="1"/>
  </r>
  <r>
    <x v="107"/>
    <x v="101"/>
    <x v="50"/>
    <x v="29"/>
    <x v="18"/>
    <x v="22"/>
    <x v="18"/>
    <x v="40"/>
    <x v="2"/>
    <x v="1"/>
  </r>
  <r>
    <x v="108"/>
    <x v="102"/>
    <x v="92"/>
    <x v="1"/>
    <x v="14"/>
    <x v="10"/>
    <x v="14"/>
    <x v="102"/>
    <x v="2"/>
    <x v="1"/>
  </r>
  <r>
    <x v="109"/>
    <x v="103"/>
    <x v="93"/>
    <x v="46"/>
    <x v="24"/>
    <x v="23"/>
    <x v="24"/>
    <x v="103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0"/>
  </r>
  <r>
    <x v="3"/>
    <x v="3"/>
    <x v="3"/>
    <x v="3"/>
    <x v="3"/>
    <x v="3"/>
    <x v="3"/>
    <x v="3"/>
    <x v="0"/>
    <x v="0"/>
  </r>
  <r>
    <x v="4"/>
    <x v="4"/>
    <x v="4"/>
    <x v="4"/>
    <x v="4"/>
    <x v="4"/>
    <x v="4"/>
    <x v="4"/>
    <x v="0"/>
    <x v="0"/>
  </r>
  <r>
    <x v="5"/>
    <x v="5"/>
    <x v="5"/>
    <x v="5"/>
    <x v="5"/>
    <x v="5"/>
    <x v="5"/>
    <x v="5"/>
    <x v="1"/>
    <x v="2"/>
  </r>
  <r>
    <x v="6"/>
    <x v="6"/>
    <x v="6"/>
    <x v="6"/>
    <x v="6"/>
    <x v="2"/>
    <x v="6"/>
    <x v="6"/>
    <x v="0"/>
    <x v="0"/>
  </r>
  <r>
    <x v="7"/>
    <x v="7"/>
    <x v="7"/>
    <x v="3"/>
    <x v="0"/>
    <x v="5"/>
    <x v="0"/>
    <x v="7"/>
    <x v="1"/>
    <x v="0"/>
  </r>
  <r>
    <x v="8"/>
    <x v="8"/>
    <x v="8"/>
    <x v="7"/>
    <x v="4"/>
    <x v="4"/>
    <x v="4"/>
    <x v="8"/>
    <x v="0"/>
    <x v="1"/>
  </r>
  <r>
    <x v="9"/>
    <x v="9"/>
    <x v="9"/>
    <x v="8"/>
    <x v="4"/>
    <x v="6"/>
    <x v="4"/>
    <x v="9"/>
    <x v="1"/>
    <x v="1"/>
  </r>
  <r>
    <x v="10"/>
    <x v="10"/>
    <x v="1"/>
    <x v="9"/>
    <x v="7"/>
    <x v="1"/>
    <x v="7"/>
    <x v="10"/>
    <x v="1"/>
    <x v="0"/>
  </r>
  <r>
    <x v="11"/>
    <x v="11"/>
    <x v="10"/>
    <x v="10"/>
    <x v="8"/>
    <x v="3"/>
    <x v="8"/>
    <x v="11"/>
    <x v="0"/>
    <x v="0"/>
  </r>
  <r>
    <x v="12"/>
    <x v="12"/>
    <x v="11"/>
    <x v="1"/>
    <x v="7"/>
    <x v="4"/>
    <x v="7"/>
    <x v="12"/>
    <x v="0"/>
    <x v="1"/>
  </r>
  <r>
    <x v="13"/>
    <x v="13"/>
    <x v="12"/>
    <x v="11"/>
    <x v="9"/>
    <x v="0"/>
    <x v="9"/>
    <x v="13"/>
    <x v="0"/>
    <x v="1"/>
  </r>
  <r>
    <x v="14"/>
    <x v="14"/>
    <x v="3"/>
    <x v="12"/>
    <x v="10"/>
    <x v="7"/>
    <x v="10"/>
    <x v="14"/>
    <x v="1"/>
    <x v="0"/>
  </r>
  <r>
    <x v="15"/>
    <x v="15"/>
    <x v="13"/>
    <x v="13"/>
    <x v="0"/>
    <x v="8"/>
    <x v="0"/>
    <x v="15"/>
    <x v="0"/>
    <x v="1"/>
  </r>
  <r>
    <x v="16"/>
    <x v="16"/>
    <x v="14"/>
    <x v="14"/>
    <x v="0"/>
    <x v="8"/>
    <x v="0"/>
    <x v="16"/>
    <x v="0"/>
    <x v="1"/>
  </r>
  <r>
    <x v="17"/>
    <x v="17"/>
    <x v="15"/>
    <x v="15"/>
    <x v="11"/>
    <x v="8"/>
    <x v="11"/>
    <x v="17"/>
    <x v="0"/>
    <x v="1"/>
  </r>
  <r>
    <x v="18"/>
    <x v="5"/>
    <x v="16"/>
    <x v="16"/>
    <x v="4"/>
    <x v="2"/>
    <x v="4"/>
    <x v="18"/>
    <x v="0"/>
    <x v="2"/>
  </r>
  <r>
    <x v="19"/>
    <x v="18"/>
    <x v="17"/>
    <x v="15"/>
    <x v="12"/>
    <x v="2"/>
    <x v="12"/>
    <x v="19"/>
    <x v="0"/>
    <x v="1"/>
  </r>
  <r>
    <x v="20"/>
    <x v="19"/>
    <x v="18"/>
    <x v="17"/>
    <x v="13"/>
    <x v="9"/>
    <x v="13"/>
    <x v="20"/>
    <x v="1"/>
    <x v="1"/>
  </r>
  <r>
    <x v="21"/>
    <x v="20"/>
    <x v="19"/>
    <x v="11"/>
    <x v="14"/>
    <x v="10"/>
    <x v="14"/>
    <x v="21"/>
    <x v="2"/>
    <x v="1"/>
  </r>
  <r>
    <x v="22"/>
    <x v="21"/>
    <x v="20"/>
    <x v="18"/>
    <x v="9"/>
    <x v="5"/>
    <x v="9"/>
    <x v="22"/>
    <x v="1"/>
    <x v="0"/>
  </r>
  <r>
    <x v="23"/>
    <x v="22"/>
    <x v="21"/>
    <x v="19"/>
    <x v="1"/>
    <x v="11"/>
    <x v="1"/>
    <x v="23"/>
    <x v="1"/>
    <x v="0"/>
  </r>
  <r>
    <x v="24"/>
    <x v="23"/>
    <x v="22"/>
    <x v="20"/>
    <x v="3"/>
    <x v="12"/>
    <x v="3"/>
    <x v="24"/>
    <x v="1"/>
    <x v="1"/>
  </r>
  <r>
    <x v="25"/>
    <x v="24"/>
    <x v="23"/>
    <x v="18"/>
    <x v="15"/>
    <x v="2"/>
    <x v="15"/>
    <x v="25"/>
    <x v="0"/>
    <x v="0"/>
  </r>
  <r>
    <x v="26"/>
    <x v="25"/>
    <x v="24"/>
    <x v="21"/>
    <x v="7"/>
    <x v="6"/>
    <x v="7"/>
    <x v="26"/>
    <x v="1"/>
    <x v="2"/>
  </r>
  <r>
    <x v="27"/>
    <x v="26"/>
    <x v="25"/>
    <x v="22"/>
    <x v="13"/>
    <x v="6"/>
    <x v="13"/>
    <x v="26"/>
    <x v="1"/>
    <x v="0"/>
  </r>
  <r>
    <x v="28"/>
    <x v="27"/>
    <x v="3"/>
    <x v="23"/>
    <x v="16"/>
    <x v="1"/>
    <x v="16"/>
    <x v="27"/>
    <x v="1"/>
    <x v="0"/>
  </r>
  <r>
    <x v="29"/>
    <x v="28"/>
    <x v="26"/>
    <x v="14"/>
    <x v="14"/>
    <x v="10"/>
    <x v="14"/>
    <x v="28"/>
    <x v="2"/>
    <x v="1"/>
  </r>
  <r>
    <x v="30"/>
    <x v="29"/>
    <x v="27"/>
    <x v="24"/>
    <x v="10"/>
    <x v="12"/>
    <x v="10"/>
    <x v="29"/>
    <x v="1"/>
    <x v="1"/>
  </r>
  <r>
    <x v="31"/>
    <x v="30"/>
    <x v="28"/>
    <x v="10"/>
    <x v="7"/>
    <x v="3"/>
    <x v="7"/>
    <x v="11"/>
    <x v="0"/>
    <x v="0"/>
  </r>
  <r>
    <x v="32"/>
    <x v="31"/>
    <x v="29"/>
    <x v="25"/>
    <x v="10"/>
    <x v="12"/>
    <x v="10"/>
    <x v="30"/>
    <x v="1"/>
    <x v="1"/>
  </r>
  <r>
    <x v="33"/>
    <x v="32"/>
    <x v="30"/>
    <x v="26"/>
    <x v="16"/>
    <x v="3"/>
    <x v="16"/>
    <x v="31"/>
    <x v="0"/>
    <x v="0"/>
  </r>
  <r>
    <x v="34"/>
    <x v="33"/>
    <x v="31"/>
    <x v="26"/>
    <x v="17"/>
    <x v="0"/>
    <x v="17"/>
    <x v="32"/>
    <x v="0"/>
    <x v="0"/>
  </r>
  <r>
    <x v="35"/>
    <x v="34"/>
    <x v="32"/>
    <x v="27"/>
    <x v="18"/>
    <x v="8"/>
    <x v="18"/>
    <x v="33"/>
    <x v="0"/>
    <x v="0"/>
  </r>
  <r>
    <x v="36"/>
    <x v="35"/>
    <x v="14"/>
    <x v="17"/>
    <x v="0"/>
    <x v="8"/>
    <x v="0"/>
    <x v="34"/>
    <x v="0"/>
    <x v="1"/>
  </r>
  <r>
    <x v="37"/>
    <x v="36"/>
    <x v="33"/>
    <x v="28"/>
    <x v="19"/>
    <x v="12"/>
    <x v="19"/>
    <x v="35"/>
    <x v="1"/>
    <x v="1"/>
  </r>
  <r>
    <x v="38"/>
    <x v="37"/>
    <x v="34"/>
    <x v="0"/>
    <x v="0"/>
    <x v="0"/>
    <x v="0"/>
    <x v="36"/>
    <x v="0"/>
    <x v="0"/>
  </r>
  <r>
    <x v="39"/>
    <x v="38"/>
    <x v="35"/>
    <x v="0"/>
    <x v="14"/>
    <x v="10"/>
    <x v="14"/>
    <x v="37"/>
    <x v="2"/>
    <x v="0"/>
  </r>
  <r>
    <x v="40"/>
    <x v="39"/>
    <x v="36"/>
    <x v="15"/>
    <x v="14"/>
    <x v="10"/>
    <x v="14"/>
    <x v="38"/>
    <x v="2"/>
    <x v="1"/>
  </r>
  <r>
    <x v="41"/>
    <x v="40"/>
    <x v="37"/>
    <x v="29"/>
    <x v="14"/>
    <x v="10"/>
    <x v="14"/>
    <x v="39"/>
    <x v="2"/>
    <x v="1"/>
  </r>
  <r>
    <x v="42"/>
    <x v="41"/>
    <x v="38"/>
    <x v="11"/>
    <x v="14"/>
    <x v="10"/>
    <x v="14"/>
    <x v="40"/>
    <x v="2"/>
    <x v="1"/>
  </r>
  <r>
    <x v="43"/>
    <x v="42"/>
    <x v="39"/>
    <x v="30"/>
    <x v="14"/>
    <x v="10"/>
    <x v="14"/>
    <x v="41"/>
    <x v="2"/>
    <x v="2"/>
  </r>
  <r>
    <x v="44"/>
    <x v="43"/>
    <x v="40"/>
    <x v="29"/>
    <x v="14"/>
    <x v="10"/>
    <x v="14"/>
    <x v="42"/>
    <x v="2"/>
    <x v="1"/>
  </r>
  <r>
    <x v="45"/>
    <x v="44"/>
    <x v="41"/>
    <x v="12"/>
    <x v="14"/>
    <x v="10"/>
    <x v="14"/>
    <x v="43"/>
    <x v="2"/>
    <x v="0"/>
  </r>
  <r>
    <x v="46"/>
    <x v="45"/>
    <x v="42"/>
    <x v="15"/>
    <x v="14"/>
    <x v="10"/>
    <x v="14"/>
    <x v="44"/>
    <x v="2"/>
    <x v="1"/>
  </r>
  <r>
    <x v="47"/>
    <x v="46"/>
    <x v="43"/>
    <x v="0"/>
    <x v="14"/>
    <x v="10"/>
    <x v="14"/>
    <x v="45"/>
    <x v="2"/>
    <x v="0"/>
  </r>
  <r>
    <x v="48"/>
    <x v="47"/>
    <x v="44"/>
    <x v="31"/>
    <x v="14"/>
    <x v="10"/>
    <x v="14"/>
    <x v="46"/>
    <x v="2"/>
    <x v="1"/>
  </r>
  <r>
    <x v="49"/>
    <x v="48"/>
    <x v="45"/>
    <x v="29"/>
    <x v="14"/>
    <x v="10"/>
    <x v="14"/>
    <x v="47"/>
    <x v="2"/>
    <x v="1"/>
  </r>
  <r>
    <x v="50"/>
    <x v="49"/>
    <x v="46"/>
    <x v="30"/>
    <x v="14"/>
    <x v="10"/>
    <x v="14"/>
    <x v="48"/>
    <x v="2"/>
    <x v="2"/>
  </r>
  <r>
    <x v="51"/>
    <x v="48"/>
    <x v="47"/>
    <x v="32"/>
    <x v="14"/>
    <x v="10"/>
    <x v="14"/>
    <x v="49"/>
    <x v="2"/>
    <x v="0"/>
  </r>
  <r>
    <x v="52"/>
    <x v="50"/>
    <x v="48"/>
    <x v="33"/>
    <x v="14"/>
    <x v="10"/>
    <x v="14"/>
    <x v="50"/>
    <x v="2"/>
    <x v="2"/>
  </r>
  <r>
    <x v="53"/>
    <x v="10"/>
    <x v="49"/>
    <x v="28"/>
    <x v="14"/>
    <x v="10"/>
    <x v="14"/>
    <x v="51"/>
    <x v="2"/>
    <x v="1"/>
  </r>
  <r>
    <x v="54"/>
    <x v="51"/>
    <x v="50"/>
    <x v="8"/>
    <x v="14"/>
    <x v="10"/>
    <x v="14"/>
    <x v="52"/>
    <x v="2"/>
    <x v="1"/>
  </r>
  <r>
    <x v="55"/>
    <x v="52"/>
    <x v="49"/>
    <x v="25"/>
    <x v="14"/>
    <x v="10"/>
    <x v="14"/>
    <x v="53"/>
    <x v="2"/>
    <x v="1"/>
  </r>
  <r>
    <x v="56"/>
    <x v="10"/>
    <x v="51"/>
    <x v="15"/>
    <x v="14"/>
    <x v="10"/>
    <x v="14"/>
    <x v="54"/>
    <x v="2"/>
    <x v="1"/>
  </r>
  <r>
    <x v="57"/>
    <x v="53"/>
    <x v="52"/>
    <x v="26"/>
    <x v="14"/>
    <x v="10"/>
    <x v="14"/>
    <x v="55"/>
    <x v="2"/>
    <x v="0"/>
  </r>
  <r>
    <x v="54"/>
    <x v="54"/>
    <x v="53"/>
    <x v="7"/>
    <x v="14"/>
    <x v="10"/>
    <x v="14"/>
    <x v="56"/>
    <x v="2"/>
    <x v="1"/>
  </r>
  <r>
    <x v="58"/>
    <x v="55"/>
    <x v="54"/>
    <x v="34"/>
    <x v="9"/>
    <x v="13"/>
    <x v="9"/>
    <x v="57"/>
    <x v="2"/>
    <x v="2"/>
  </r>
  <r>
    <x v="59"/>
    <x v="56"/>
    <x v="55"/>
    <x v="20"/>
    <x v="20"/>
    <x v="14"/>
    <x v="20"/>
    <x v="58"/>
    <x v="1"/>
    <x v="1"/>
  </r>
  <r>
    <x v="60"/>
    <x v="57"/>
    <x v="56"/>
    <x v="7"/>
    <x v="13"/>
    <x v="15"/>
    <x v="13"/>
    <x v="59"/>
    <x v="2"/>
    <x v="1"/>
  </r>
  <r>
    <x v="61"/>
    <x v="58"/>
    <x v="57"/>
    <x v="15"/>
    <x v="21"/>
    <x v="16"/>
    <x v="21"/>
    <x v="60"/>
    <x v="2"/>
    <x v="1"/>
  </r>
  <r>
    <x v="62"/>
    <x v="59"/>
    <x v="58"/>
    <x v="24"/>
    <x v="5"/>
    <x v="17"/>
    <x v="5"/>
    <x v="61"/>
    <x v="2"/>
    <x v="1"/>
  </r>
  <r>
    <x v="63"/>
    <x v="60"/>
    <x v="59"/>
    <x v="32"/>
    <x v="22"/>
    <x v="18"/>
    <x v="22"/>
    <x v="62"/>
    <x v="2"/>
    <x v="0"/>
  </r>
  <r>
    <x v="64"/>
    <x v="11"/>
    <x v="60"/>
    <x v="8"/>
    <x v="9"/>
    <x v="19"/>
    <x v="9"/>
    <x v="63"/>
    <x v="2"/>
    <x v="1"/>
  </r>
  <r>
    <x v="65"/>
    <x v="61"/>
    <x v="40"/>
    <x v="29"/>
    <x v="3"/>
    <x v="20"/>
    <x v="3"/>
    <x v="64"/>
    <x v="2"/>
    <x v="1"/>
  </r>
  <r>
    <x v="66"/>
    <x v="62"/>
    <x v="61"/>
    <x v="35"/>
    <x v="4"/>
    <x v="14"/>
    <x v="4"/>
    <x v="65"/>
    <x v="1"/>
    <x v="0"/>
  </r>
  <r>
    <x v="67"/>
    <x v="63"/>
    <x v="62"/>
    <x v="8"/>
    <x v="23"/>
    <x v="21"/>
    <x v="23"/>
    <x v="66"/>
    <x v="2"/>
    <x v="1"/>
  </r>
  <r>
    <x v="68"/>
    <x v="64"/>
    <x v="63"/>
    <x v="36"/>
    <x v="4"/>
    <x v="14"/>
    <x v="4"/>
    <x v="67"/>
    <x v="1"/>
    <x v="0"/>
  </r>
  <r>
    <x v="69"/>
    <x v="65"/>
    <x v="64"/>
    <x v="37"/>
    <x v="9"/>
    <x v="20"/>
    <x v="9"/>
    <x v="68"/>
    <x v="2"/>
    <x v="1"/>
  </r>
  <r>
    <x v="70"/>
    <x v="66"/>
    <x v="65"/>
    <x v="37"/>
    <x v="4"/>
    <x v="14"/>
    <x v="4"/>
    <x v="69"/>
    <x v="1"/>
    <x v="1"/>
  </r>
  <r>
    <x v="71"/>
    <x v="67"/>
    <x v="60"/>
    <x v="1"/>
    <x v="9"/>
    <x v="19"/>
    <x v="9"/>
    <x v="70"/>
    <x v="2"/>
    <x v="1"/>
  </r>
  <r>
    <x v="72"/>
    <x v="68"/>
    <x v="66"/>
    <x v="1"/>
    <x v="3"/>
    <x v="15"/>
    <x v="3"/>
    <x v="71"/>
    <x v="2"/>
    <x v="1"/>
  </r>
  <r>
    <x v="73"/>
    <x v="69"/>
    <x v="67"/>
    <x v="1"/>
    <x v="14"/>
    <x v="10"/>
    <x v="14"/>
    <x v="72"/>
    <x v="2"/>
    <x v="1"/>
  </r>
  <r>
    <x v="74"/>
    <x v="70"/>
    <x v="68"/>
    <x v="37"/>
    <x v="14"/>
    <x v="10"/>
    <x v="14"/>
    <x v="11"/>
    <x v="2"/>
    <x v="1"/>
  </r>
  <r>
    <x v="75"/>
    <x v="71"/>
    <x v="69"/>
    <x v="38"/>
    <x v="14"/>
    <x v="10"/>
    <x v="14"/>
    <x v="73"/>
    <x v="2"/>
    <x v="2"/>
  </r>
  <r>
    <x v="76"/>
    <x v="72"/>
    <x v="70"/>
    <x v="15"/>
    <x v="14"/>
    <x v="10"/>
    <x v="14"/>
    <x v="74"/>
    <x v="2"/>
    <x v="1"/>
  </r>
  <r>
    <x v="77"/>
    <x v="73"/>
    <x v="71"/>
    <x v="14"/>
    <x v="18"/>
    <x v="14"/>
    <x v="18"/>
    <x v="75"/>
    <x v="1"/>
    <x v="1"/>
  </r>
  <r>
    <x v="78"/>
    <x v="74"/>
    <x v="72"/>
    <x v="15"/>
    <x v="18"/>
    <x v="8"/>
    <x v="18"/>
    <x v="76"/>
    <x v="0"/>
    <x v="1"/>
  </r>
  <r>
    <x v="79"/>
    <x v="75"/>
    <x v="73"/>
    <x v="39"/>
    <x v="14"/>
    <x v="10"/>
    <x v="14"/>
    <x v="77"/>
    <x v="2"/>
    <x v="0"/>
  </r>
  <r>
    <x v="80"/>
    <x v="76"/>
    <x v="46"/>
    <x v="30"/>
    <x v="14"/>
    <x v="10"/>
    <x v="14"/>
    <x v="78"/>
    <x v="2"/>
    <x v="2"/>
  </r>
  <r>
    <x v="81"/>
    <x v="77"/>
    <x v="23"/>
    <x v="15"/>
    <x v="18"/>
    <x v="5"/>
    <x v="18"/>
    <x v="79"/>
    <x v="1"/>
    <x v="1"/>
  </r>
  <r>
    <x v="48"/>
    <x v="78"/>
    <x v="74"/>
    <x v="15"/>
    <x v="14"/>
    <x v="10"/>
    <x v="14"/>
    <x v="80"/>
    <x v="2"/>
    <x v="1"/>
  </r>
  <r>
    <x v="82"/>
    <x v="79"/>
    <x v="46"/>
    <x v="40"/>
    <x v="14"/>
    <x v="10"/>
    <x v="14"/>
    <x v="81"/>
    <x v="2"/>
    <x v="2"/>
  </r>
  <r>
    <x v="83"/>
    <x v="80"/>
    <x v="75"/>
    <x v="15"/>
    <x v="14"/>
    <x v="10"/>
    <x v="14"/>
    <x v="82"/>
    <x v="2"/>
    <x v="1"/>
  </r>
  <r>
    <x v="84"/>
    <x v="10"/>
    <x v="50"/>
    <x v="41"/>
    <x v="14"/>
    <x v="10"/>
    <x v="14"/>
    <x v="83"/>
    <x v="2"/>
    <x v="2"/>
  </r>
  <r>
    <x v="56"/>
    <x v="81"/>
    <x v="76"/>
    <x v="15"/>
    <x v="14"/>
    <x v="10"/>
    <x v="14"/>
    <x v="84"/>
    <x v="2"/>
    <x v="1"/>
  </r>
  <r>
    <x v="85"/>
    <x v="82"/>
    <x v="46"/>
    <x v="40"/>
    <x v="14"/>
    <x v="10"/>
    <x v="14"/>
    <x v="85"/>
    <x v="2"/>
    <x v="2"/>
  </r>
  <r>
    <x v="86"/>
    <x v="83"/>
    <x v="77"/>
    <x v="37"/>
    <x v="14"/>
    <x v="10"/>
    <x v="14"/>
    <x v="22"/>
    <x v="2"/>
    <x v="1"/>
  </r>
  <r>
    <x v="87"/>
    <x v="84"/>
    <x v="78"/>
    <x v="29"/>
    <x v="14"/>
    <x v="10"/>
    <x v="14"/>
    <x v="86"/>
    <x v="2"/>
    <x v="1"/>
  </r>
  <r>
    <x v="88"/>
    <x v="85"/>
    <x v="54"/>
    <x v="25"/>
    <x v="14"/>
    <x v="10"/>
    <x v="14"/>
    <x v="87"/>
    <x v="2"/>
    <x v="1"/>
  </r>
  <r>
    <x v="89"/>
    <x v="86"/>
    <x v="79"/>
    <x v="25"/>
    <x v="14"/>
    <x v="10"/>
    <x v="14"/>
    <x v="88"/>
    <x v="2"/>
    <x v="1"/>
  </r>
  <r>
    <x v="90"/>
    <x v="87"/>
    <x v="46"/>
    <x v="1"/>
    <x v="14"/>
    <x v="10"/>
    <x v="14"/>
    <x v="89"/>
    <x v="2"/>
    <x v="1"/>
  </r>
  <r>
    <x v="91"/>
    <x v="46"/>
    <x v="80"/>
    <x v="29"/>
    <x v="14"/>
    <x v="10"/>
    <x v="14"/>
    <x v="87"/>
    <x v="2"/>
    <x v="1"/>
  </r>
  <r>
    <x v="92"/>
    <x v="88"/>
    <x v="81"/>
    <x v="42"/>
    <x v="14"/>
    <x v="10"/>
    <x v="14"/>
    <x v="90"/>
    <x v="2"/>
    <x v="2"/>
  </r>
  <r>
    <x v="93"/>
    <x v="89"/>
    <x v="48"/>
    <x v="30"/>
    <x v="14"/>
    <x v="10"/>
    <x v="14"/>
    <x v="41"/>
    <x v="2"/>
    <x v="2"/>
  </r>
  <r>
    <x v="94"/>
    <x v="90"/>
    <x v="82"/>
    <x v="15"/>
    <x v="14"/>
    <x v="10"/>
    <x v="14"/>
    <x v="39"/>
    <x v="2"/>
    <x v="1"/>
  </r>
  <r>
    <x v="95"/>
    <x v="91"/>
    <x v="16"/>
    <x v="38"/>
    <x v="14"/>
    <x v="10"/>
    <x v="14"/>
    <x v="91"/>
    <x v="2"/>
    <x v="2"/>
  </r>
  <r>
    <x v="96"/>
    <x v="92"/>
    <x v="83"/>
    <x v="15"/>
    <x v="14"/>
    <x v="10"/>
    <x v="14"/>
    <x v="92"/>
    <x v="2"/>
    <x v="1"/>
  </r>
  <r>
    <x v="97"/>
    <x v="93"/>
    <x v="84"/>
    <x v="11"/>
    <x v="14"/>
    <x v="10"/>
    <x v="14"/>
    <x v="93"/>
    <x v="2"/>
    <x v="1"/>
  </r>
  <r>
    <x v="98"/>
    <x v="94"/>
    <x v="85"/>
    <x v="43"/>
    <x v="18"/>
    <x v="8"/>
    <x v="18"/>
    <x v="94"/>
    <x v="0"/>
    <x v="0"/>
  </r>
  <r>
    <x v="99"/>
    <x v="95"/>
    <x v="86"/>
    <x v="28"/>
    <x v="14"/>
    <x v="10"/>
    <x v="14"/>
    <x v="64"/>
    <x v="2"/>
    <x v="1"/>
  </r>
  <r>
    <x v="100"/>
    <x v="96"/>
    <x v="87"/>
    <x v="44"/>
    <x v="14"/>
    <x v="10"/>
    <x v="14"/>
    <x v="95"/>
    <x v="2"/>
    <x v="2"/>
  </r>
  <r>
    <x v="101"/>
    <x v="97"/>
    <x v="88"/>
    <x v="6"/>
    <x v="14"/>
    <x v="10"/>
    <x v="14"/>
    <x v="96"/>
    <x v="2"/>
    <x v="0"/>
  </r>
  <r>
    <x v="102"/>
    <x v="98"/>
    <x v="89"/>
    <x v="10"/>
    <x v="14"/>
    <x v="10"/>
    <x v="14"/>
    <x v="97"/>
    <x v="2"/>
    <x v="0"/>
  </r>
  <r>
    <x v="103"/>
    <x v="44"/>
    <x v="90"/>
    <x v="10"/>
    <x v="14"/>
    <x v="10"/>
    <x v="14"/>
    <x v="98"/>
    <x v="2"/>
    <x v="0"/>
  </r>
  <r>
    <x v="104"/>
    <x v="99"/>
    <x v="46"/>
    <x v="30"/>
    <x v="14"/>
    <x v="10"/>
    <x v="14"/>
    <x v="99"/>
    <x v="2"/>
    <x v="2"/>
  </r>
  <r>
    <x v="105"/>
    <x v="100"/>
    <x v="69"/>
    <x v="30"/>
    <x v="14"/>
    <x v="10"/>
    <x v="14"/>
    <x v="100"/>
    <x v="2"/>
    <x v="2"/>
  </r>
  <r>
    <x v="106"/>
    <x v="47"/>
    <x v="91"/>
    <x v="45"/>
    <x v="14"/>
    <x v="10"/>
    <x v="14"/>
    <x v="101"/>
    <x v="2"/>
    <x v="1"/>
  </r>
  <r>
    <x v="107"/>
    <x v="101"/>
    <x v="50"/>
    <x v="29"/>
    <x v="18"/>
    <x v="22"/>
    <x v="18"/>
    <x v="40"/>
    <x v="2"/>
    <x v="1"/>
  </r>
  <r>
    <x v="108"/>
    <x v="102"/>
    <x v="92"/>
    <x v="1"/>
    <x v="14"/>
    <x v="10"/>
    <x v="14"/>
    <x v="10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A16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Max of Current price" fld="1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Current price" fld="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8:A19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dataField="1"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Min of Current price" fld="1" subtotal="min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A7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dataField="1"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old price" fld="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3:B40" firstHeaderRow="1" firstDataRow="1" firstDataCol="1" rowPageCount="1" colPageCount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axis="axisRow"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compact="0" showAll="0"/>
    <pivotField axis="axisPage" compact="0" multipleItemSelectionAllowed="1" showAll="0">
      <items count="5">
        <item x="1"/>
        <item h="1" x="2"/>
        <item h="1" x="0"/>
        <item h="1" x="3"/>
        <item t="default"/>
      </items>
    </pivotField>
  </pivotFields>
  <rowFields count="1">
    <field x="3"/>
  </rowFields>
  <rowItems count="17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9"/>
  </pageFields>
  <dataFields count="1">
    <dataField name="Average of Rating  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A10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dataField="1"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Discount" fld="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21:G45" firstHeaderRow="1" firstDataRow="1" firstDataCol="1" rowPageCount="1" colPageCount="1"/>
  <pivotFields count="10">
    <pivotField axis="axisRow"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axis="axisPage" compact="0" multipleItemSelectionAllowed="1" showAll="0">
      <items count="5">
        <item h="1" x="1"/>
        <item x="0"/>
        <item h="1" x="2"/>
        <item h="1" x="3"/>
        <item t="default"/>
      </items>
    </pivotField>
    <pivotField compact="0" showAll="0"/>
  </pivotFields>
  <rowFields count="1">
    <field x="0"/>
  </rowFields>
  <rowItems count="24">
    <i>
      <x/>
    </i>
    <i>
      <x v="1"/>
    </i>
    <i>
      <x v="2"/>
    </i>
    <i>
      <x v="4"/>
    </i>
    <i>
      <x v="8"/>
    </i>
    <i>
      <x v="18"/>
    </i>
    <i>
      <x v="22"/>
    </i>
    <i>
      <x v="27"/>
    </i>
    <i>
      <x v="28"/>
    </i>
    <i>
      <x v="40"/>
    </i>
    <i>
      <x v="44"/>
    </i>
    <i>
      <x v="52"/>
    </i>
    <i>
      <x v="57"/>
    </i>
    <i>
      <x v="59"/>
    </i>
    <i>
      <x v="65"/>
    </i>
    <i>
      <x v="68"/>
    </i>
    <i>
      <x v="69"/>
    </i>
    <i>
      <x v="70"/>
    </i>
    <i>
      <x v="75"/>
    </i>
    <i>
      <x v="87"/>
    </i>
    <i>
      <x v="90"/>
    </i>
    <i>
      <x v="91"/>
    </i>
    <i>
      <x v="107"/>
    </i>
    <i t="grand">
      <x/>
    </i>
  </rowItems>
  <colItems count="1">
    <i/>
  </colItems>
  <pageFields count="1">
    <pageField fld="8"/>
  </pageFields>
  <dataFields count="1">
    <dataField name="Sum of Rating  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A13" firstHeaderRow="1" firstDataRow="1" firstDataCol="0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compact="0" showAll="0"/>
    <pivotField compact="0" showAll="0"/>
    <pivotField compact="0" showAll="0"/>
    <pivotField compact="0" showAll="0"/>
  </pivotFields>
  <dataFields count="1">
    <dataField name="Average of Rating  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>
      <items count="26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x="24"/>
        <item t="default"/>
      </items>
    </pivotField>
    <pivotField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compact="0" showAll="0">
      <items count="105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x="103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axis="axisRow" compact="0" multipleItemSelectionAllowed="1" showAll="0">
      <items count="5">
        <item x="1"/>
        <item x="2"/>
        <item x="0"/>
        <item h="1" x="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6" firstHeaderRow="1" firstDataRow="1" firstDataCol="1"/>
  <pivotFields count="10">
    <pivotField compact="0" showAll="0">
      <items count="111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x="109"/>
        <item t="default"/>
      </items>
    </pivotField>
    <pivotField compact="0" showAll="0">
      <items count="105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103"/>
        <item t="default"/>
      </items>
    </pivotField>
    <pivotField compact="0" showAll="0">
      <items count="95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93"/>
        <item t="default"/>
      </items>
    </pivotField>
    <pivotField compact="0" showAll="0">
      <items count="48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x="46"/>
        <item t="default"/>
      </items>
    </pivotField>
    <pivotField compact="0" showAll="0">
      <items count="26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x="24"/>
        <item t="default"/>
      </items>
    </pivotField>
    <pivotField compact="0" showAll="0">
      <items count="25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23"/>
        <item t="default"/>
      </items>
    </pivotField>
    <pivotField dataField="1" compact="0" showAll="0">
      <items count="26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x="24"/>
        <item t="default"/>
      </items>
    </pivotField>
    <pivotField compact="0" showAll="0">
      <items count="105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x="103"/>
        <item t="default"/>
      </items>
    </pivotField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E3:F14" firstHeaderRow="1" firstDataRow="1" firstDataCol="1" rowPageCount="1" colPageCount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dataField="1"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4">
        <item x="1"/>
        <item x="2"/>
        <item x="0"/>
        <item t="default"/>
      </items>
    </pivotField>
  </pivotFields>
  <rowFields count="1">
    <field x="0"/>
  </rowFields>
  <rowItems count="11">
    <i>
      <x v="20"/>
    </i>
    <i>
      <x v="30"/>
    </i>
    <i>
      <x v="31"/>
    </i>
    <i>
      <x v="39"/>
    </i>
    <i>
      <x v="52"/>
    </i>
    <i>
      <x v="53"/>
    </i>
    <i>
      <x v="67"/>
    </i>
    <i>
      <x v="70"/>
    </i>
    <i>
      <x v="84"/>
    </i>
    <i>
      <x v="99"/>
    </i>
    <i t="grand">
      <x/>
    </i>
  </rowItems>
  <colItems count="1">
    <i/>
  </colItems>
  <pageFields count="1">
    <pageField fld="9"/>
  </pageFields>
  <dataFields count="1">
    <dataField name="Sum of Discount" fld="3" baseField="0" baseItem="0"/>
  </dataFields>
  <pivotTableStyleInfo name="PivotStylePreset2_Accent1" showRowHeaders="1" showColHeaders="1"/>
  <filters count="1">
    <filter evalOrder="-1" fld="0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20:F31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dataField="1"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0"/>
  </rowFields>
  <rowItems count="11">
    <i>
      <x v="1"/>
    </i>
    <i>
      <x v="5"/>
    </i>
    <i>
      <x v="8"/>
    </i>
    <i>
      <x v="18"/>
    </i>
    <i>
      <x v="26"/>
    </i>
    <i>
      <x v="27"/>
    </i>
    <i>
      <x v="28"/>
    </i>
    <i>
      <x v="59"/>
    </i>
    <i>
      <x v="91"/>
    </i>
    <i>
      <x v="95"/>
    </i>
    <i t="grand">
      <x/>
    </i>
  </rowItems>
  <colItems count="1">
    <i/>
  </colItems>
  <dataFields count="1">
    <dataField name="Sum of Abs Reviews " fld="6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E36:F44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multipleItemSelectionAllowed="1" showAll="0">
      <items count="4">
        <item x="1"/>
        <item x="2"/>
        <item x="0"/>
        <item t="default"/>
      </items>
    </pivotField>
  </pivotFields>
  <rowFields count="1">
    <field x="0"/>
  </rowFields>
  <rowItems count="8">
    <i>
      <x v="40"/>
    </i>
    <i>
      <x v="44"/>
    </i>
    <i>
      <x v="52"/>
    </i>
    <i>
      <x v="57"/>
    </i>
    <i>
      <x v="65"/>
    </i>
    <i>
      <x v="68"/>
    </i>
    <i>
      <x v="87"/>
    </i>
    <i t="grand">
      <x/>
    </i>
  </rowItems>
  <colItems count="1">
    <i/>
  </colItems>
  <dataFields count="1">
    <dataField name="Sum of Rating  " fld="5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49:F102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0"/>
  </rowFields>
  <rowItems count="53">
    <i>
      <x v="6"/>
    </i>
    <i>
      <x v="9"/>
    </i>
    <i>
      <x v="10"/>
    </i>
    <i>
      <x v="12"/>
    </i>
    <i>
      <x v="13"/>
    </i>
    <i>
      <x v="14"/>
    </i>
    <i>
      <x v="15"/>
    </i>
    <i>
      <x v="19"/>
    </i>
    <i>
      <x v="21"/>
    </i>
    <i>
      <x v="23"/>
    </i>
    <i>
      <x v="24"/>
    </i>
    <i>
      <x v="29"/>
    </i>
    <i>
      <x v="31"/>
    </i>
    <i>
      <x v="32"/>
    </i>
    <i>
      <x v="33"/>
    </i>
    <i>
      <x v="34"/>
    </i>
    <i>
      <x v="36"/>
    </i>
    <i>
      <x v="37"/>
    </i>
    <i>
      <x v="39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71"/>
    </i>
    <i>
      <x v="74"/>
    </i>
    <i>
      <x v="78"/>
    </i>
    <i>
      <x v="79"/>
    </i>
    <i>
      <x v="81"/>
    </i>
    <i>
      <x v="82"/>
    </i>
    <i>
      <x v="83"/>
    </i>
    <i>
      <x v="85"/>
    </i>
    <i>
      <x v="86"/>
    </i>
    <i>
      <x v="88"/>
    </i>
    <i>
      <x v="89"/>
    </i>
    <i>
      <x v="92"/>
    </i>
    <i>
      <x v="94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5"/>
    </i>
    <i t="grand">
      <x/>
    </i>
  </rowItems>
  <colItems count="1">
    <i/>
  </colItems>
  <dataFields count="1">
    <dataField name="Sum of Rating  " fld="5" baseField="0" baseItem="0"/>
  </dataFields>
  <pivotTableStyleInfo name="PivotStylePreset2_Accent1" showRowHeaders="1" showColHeaders="1"/>
  <filters count="1">
    <filter evalOrder="-1" fld="0" iMeasureFld="0" id="4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I3:K7" firstHeaderRow="0" firstDataRow="1" firstDataCol="1"/>
  <pivotFields count="10">
    <pivotField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7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t="default"/>
      </items>
    </pivotField>
    <pivotField compact="0" numFmtId="178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34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t="default"/>
      </items>
    </pivotField>
    <pivotField compact="0" numFmtId="9" showAll="0">
      <items count="47">
        <item x="44"/>
        <item x="30"/>
        <item x="33"/>
        <item x="38"/>
        <item x="42"/>
        <item x="5"/>
        <item x="41"/>
        <item x="34"/>
        <item x="40"/>
        <item x="21"/>
        <item x="16"/>
        <item x="9"/>
        <item x="43"/>
        <item x="32"/>
        <item x="19"/>
        <item x="6"/>
        <item x="2"/>
        <item x="4"/>
        <item x="26"/>
        <item x="36"/>
        <item x="23"/>
        <item x="22"/>
        <item x="12"/>
        <item x="10"/>
        <item x="18"/>
        <item x="39"/>
        <item x="3"/>
        <item x="0"/>
        <item x="35"/>
        <item x="27"/>
        <item x="28"/>
        <item x="11"/>
        <item x="37"/>
        <item x="8"/>
        <item x="14"/>
        <item x="1"/>
        <item x="25"/>
        <item x="15"/>
        <item x="29"/>
        <item x="13"/>
        <item x="24"/>
        <item x="17"/>
        <item x="20"/>
        <item x="7"/>
        <item x="31"/>
        <item x="45"/>
        <item t="default"/>
      </items>
    </pivotField>
    <pivotField compact="0" showAll="0">
      <items count="25">
        <item x="21"/>
        <item x="6"/>
        <item x="15"/>
        <item x="12"/>
        <item x="8"/>
        <item x="19"/>
        <item x="17"/>
        <item x="2"/>
        <item x="16"/>
        <item x="23"/>
        <item x="22"/>
        <item x="5"/>
        <item x="1"/>
        <item x="13"/>
        <item x="7"/>
        <item x="20"/>
        <item x="10"/>
        <item x="3"/>
        <item x="9"/>
        <item x="4"/>
        <item x="11"/>
        <item x="0"/>
        <item x="18"/>
        <item x="14"/>
        <item t="default"/>
      </items>
    </pivotField>
    <pivotField dataField="1" compact="0" showAll="0">
      <items count="24">
        <item x="10"/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t="default"/>
      </items>
    </pivotField>
    <pivotField dataField="1" compact="0" showAll="0">
      <items count="25">
        <item x="14"/>
        <item x="18"/>
        <item x="0"/>
        <item x="11"/>
        <item x="4"/>
        <item x="9"/>
        <item x="3"/>
        <item x="10"/>
        <item x="20"/>
        <item x="7"/>
        <item x="13"/>
        <item x="1"/>
        <item x="5"/>
        <item x="22"/>
        <item x="23"/>
        <item x="16"/>
        <item x="2"/>
        <item x="17"/>
        <item x="19"/>
        <item x="8"/>
        <item x="12"/>
        <item x="15"/>
        <item x="6"/>
        <item x="21"/>
        <item t="default"/>
      </items>
    </pivotField>
    <pivotField compact="0" showAll="0">
      <items count="104">
        <item x="95"/>
        <item x="100"/>
        <item x="78"/>
        <item x="41"/>
        <item x="48"/>
        <item x="50"/>
        <item x="99"/>
        <item x="20"/>
        <item x="96"/>
        <item x="73"/>
        <item x="49"/>
        <item x="88"/>
        <item x="83"/>
        <item x="90"/>
        <item x="102"/>
        <item x="91"/>
        <item x="16"/>
        <item x="80"/>
        <item x="34"/>
        <item x="29"/>
        <item x="10"/>
        <item x="74"/>
        <item x="25"/>
        <item x="85"/>
        <item x="81"/>
        <item x="39"/>
        <item x="68"/>
        <item x="82"/>
        <item x="35"/>
        <item x="5"/>
        <item x="47"/>
        <item x="46"/>
        <item x="79"/>
        <item x="66"/>
        <item x="57"/>
        <item x="62"/>
        <item x="15"/>
        <item x="101"/>
        <item x="61"/>
        <item x="13"/>
        <item x="69"/>
        <item x="52"/>
        <item x="60"/>
        <item x="40"/>
        <item x="38"/>
        <item x="22"/>
        <item x="1"/>
        <item x="12"/>
        <item x="56"/>
        <item x="23"/>
        <item x="92"/>
        <item x="11"/>
        <item x="58"/>
        <item x="51"/>
        <item x="0"/>
        <item x="97"/>
        <item x="7"/>
        <item x="43"/>
        <item x="4"/>
        <item x="98"/>
        <item x="84"/>
        <item x="26"/>
        <item x="53"/>
        <item x="44"/>
        <item x="72"/>
        <item x="18"/>
        <item x="31"/>
        <item x="6"/>
        <item x="32"/>
        <item x="2"/>
        <item x="27"/>
        <item x="45"/>
        <item x="54"/>
        <item x="93"/>
        <item x="89"/>
        <item x="14"/>
        <item x="63"/>
        <item x="77"/>
        <item x="70"/>
        <item x="86"/>
        <item x="36"/>
        <item x="3"/>
        <item x="67"/>
        <item x="76"/>
        <item x="94"/>
        <item x="19"/>
        <item x="64"/>
        <item x="42"/>
        <item x="75"/>
        <item x="55"/>
        <item x="33"/>
        <item x="87"/>
        <item x="9"/>
        <item x="21"/>
        <item x="71"/>
        <item x="8"/>
        <item x="30"/>
        <item x="37"/>
        <item x="28"/>
        <item x="17"/>
        <item x="65"/>
        <item x="24"/>
        <item x="59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  " fld="5" subtotal="average" baseField="0" baseItem="0"/>
    <dataField name="Average of Abs Reviews 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B66" firstHeaderRow="1" firstDataRow="1" firstDataCol="1"/>
  <pivotFields count="10">
    <pivotField axis="axisRow" measureFilter="1" compact="0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compact="0" numFmtId="178" showAll="0"/>
    <pivotField compact="0" numFmtId="178" showAll="0"/>
    <pivotField dataField="1"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1">
    <i>
      <x v="20"/>
    </i>
    <i>
      <x v="30"/>
    </i>
    <i>
      <x v="31"/>
    </i>
    <i>
      <x v="39"/>
    </i>
    <i>
      <x v="52"/>
    </i>
    <i>
      <x v="53"/>
    </i>
    <i>
      <x v="67"/>
    </i>
    <i>
      <x v="70"/>
    </i>
    <i>
      <x v="84"/>
    </i>
    <i>
      <x v="99"/>
    </i>
    <i t="grand">
      <x/>
    </i>
  </rowItems>
  <colItems count="1">
    <i/>
  </colItems>
  <dataFields count="1">
    <dataField name="Sum of Discount" fld="3" baseField="0" baseItem="0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A6" firstHeaderRow="1" firstDataRow="1" firstDataCol="0"/>
  <pivotFields count="10">
    <pivotField dataField="1" compact="0" showAll="0"/>
    <pivotField compact="0" numFmtId="178" showAll="0"/>
    <pivotField compact="0" numFmtId="178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Count of Product " fld="0" subtotal="count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5:C6" firstHeaderRow="1" firstDataRow="1" firstDataCol="0"/>
  <pivotFields count="10">
    <pivotField compact="0" showAll="0"/>
    <pivotField compact="0" numFmtId="178" showAll="0"/>
    <pivotField compact="0" numFmtId="178" showAll="0"/>
    <pivotField compact="0" numFmtId="9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dataFields count="1">
    <dataField name="Average of Rating  " fld="5" subtotal="average" baseField="0" baseItem="0" numFmtId="2"/>
  </dataFields>
  <formats count="2">
    <format dxfId="2">
      <pivotArea collapsedLevelsAreSubtotals="1" fieldPosition="0"/>
    </format>
    <format dxfId="3">
      <pivotArea collapsedLevelsAreSubtotals="1" fieldPosition="0"/>
    </format>
  </formats>
  <pivotTableStyleInfo name="tablestyleA27_6c9784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5:E6" firstHeaderRow="1" firstDataRow="1" firstDataCol="0"/>
  <pivotFields count="10">
    <pivotField compact="0" showAll="0"/>
    <pivotField compact="0" numFmtId="178" showAll="0"/>
    <pivotField compact="0" numFmtId="178" showAll="0"/>
    <pivotField dataField="1"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Average of Discount" fld="3" subtotal="average" baseField="0" baseItem="0" numFmtId="9"/>
  </dataFields>
  <formats count="2">
    <format dxfId="4">
      <pivotArea collapsedLevelsAreSubtotals="1" fieldPosition="0"/>
    </format>
    <format dxfId="5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5:G6" firstHeaderRow="1" firstDataRow="1" firstDataCol="0"/>
  <pivotFields count="10">
    <pivotField compact="0" showAll="0"/>
    <pivotField compact="0" numFmtId="178" showAll="0"/>
    <pivotField compact="0" numFmtId="178" showAll="0"/>
    <pivotField compact="0" numFmtId="9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dataFields count="1">
    <dataField name="Sum of Abs Reviews " fld="6" baseField="0" baseItem="0"/>
  </dataFields>
  <formats count="2">
    <format dxfId="6">
      <pivotArea collapsedLevelsAreSubtotals="1" fieldPosition="0"/>
    </format>
    <format dxfId="7">
      <pivotArea collapsedLevelsAreSubtotals="1" fieldPosition="0"/>
    </format>
  </formats>
  <pivotTableStyleInfo name="tablestyleA27_6c978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_Category" sourceName="Rating Category "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count_Category" sourceName="Discount Category ">
  <pivotTables>
    <pivotTable tabId="5" name="PivotTable1"/>
    <pivotTable tabId="5" name="PivotTable2"/>
    <pivotTable tabId="5" name="PivotTable3"/>
    <pivotTable tabId="5" name="PivotTable4"/>
    <pivotTable tabId="5" name="PivotTable6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iscount Category " cache="Slicer_Discount_Category" caption="Discount Category " rowHeight="225425"/>
  <slicer name="Rating Category " cache="Slicer_Rating_Category" caption="Rating Category 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2.xml"/><Relationship Id="rId8" Type="http://schemas.openxmlformats.org/officeDocument/2006/relationships/pivotTable" Target="../pivotTables/pivotTable16.xml"/><Relationship Id="rId7" Type="http://schemas.openxmlformats.org/officeDocument/2006/relationships/pivotTable" Target="../pivotTables/pivotTable15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20.xml"/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workbookViewId="0">
      <selection activeCell="M5" sqref="M5"/>
    </sheetView>
  </sheetViews>
  <sheetFormatPr defaultColWidth="9.12380952380952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22">
        <v>0.38</v>
      </c>
      <c r="E2">
        <v>-2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22">
        <v>0.47</v>
      </c>
      <c r="E3">
        <v>-14</v>
      </c>
      <c r="F3" t="s">
        <v>13</v>
      </c>
    </row>
    <row r="4" spans="1:6">
      <c r="A4" t="s">
        <v>14</v>
      </c>
      <c r="B4" t="s">
        <v>15</v>
      </c>
      <c r="C4" t="s">
        <v>16</v>
      </c>
      <c r="D4" s="22">
        <v>0.25</v>
      </c>
      <c r="E4">
        <v>-24</v>
      </c>
      <c r="F4" t="s">
        <v>17</v>
      </c>
    </row>
    <row r="5" spans="1:6">
      <c r="A5" t="s">
        <v>18</v>
      </c>
      <c r="B5" t="s">
        <v>19</v>
      </c>
      <c r="C5" t="s">
        <v>20</v>
      </c>
      <c r="D5" s="22">
        <v>0.37</v>
      </c>
      <c r="E5">
        <v>-7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22">
        <v>0.26</v>
      </c>
      <c r="E6">
        <v>-5</v>
      </c>
      <c r="F6" t="s">
        <v>25</v>
      </c>
    </row>
    <row r="7" spans="1:6">
      <c r="A7" t="s">
        <v>26</v>
      </c>
      <c r="B7" t="s">
        <v>27</v>
      </c>
      <c r="C7" t="s">
        <v>28</v>
      </c>
      <c r="D7" s="22">
        <v>0.09</v>
      </c>
      <c r="E7">
        <v>-15</v>
      </c>
      <c r="F7" t="s">
        <v>29</v>
      </c>
    </row>
    <row r="8" spans="1:6">
      <c r="A8" t="s">
        <v>30</v>
      </c>
      <c r="B8" t="s">
        <v>31</v>
      </c>
      <c r="C8" t="s">
        <v>32</v>
      </c>
      <c r="D8" s="22">
        <v>0.24</v>
      </c>
      <c r="E8">
        <v>-55</v>
      </c>
      <c r="F8" t="s">
        <v>17</v>
      </c>
    </row>
    <row r="9" spans="1:6">
      <c r="A9" t="s">
        <v>33</v>
      </c>
      <c r="B9" t="s">
        <v>34</v>
      </c>
      <c r="C9" t="s">
        <v>19</v>
      </c>
      <c r="D9" s="22">
        <v>0.37</v>
      </c>
      <c r="E9">
        <v>-2</v>
      </c>
      <c r="F9" t="s">
        <v>29</v>
      </c>
    </row>
    <row r="10" spans="1:6">
      <c r="A10" t="s">
        <v>35</v>
      </c>
      <c r="B10" t="s">
        <v>36</v>
      </c>
      <c r="C10" t="s">
        <v>37</v>
      </c>
      <c r="D10" s="22">
        <v>0.55</v>
      </c>
      <c r="E10">
        <v>-5</v>
      </c>
      <c r="F10" t="s">
        <v>25</v>
      </c>
    </row>
    <row r="11" spans="1:6">
      <c r="A11" t="s">
        <v>38</v>
      </c>
      <c r="B11" t="s">
        <v>39</v>
      </c>
      <c r="C11" t="s">
        <v>40</v>
      </c>
      <c r="D11" s="22">
        <v>0.45</v>
      </c>
      <c r="E11">
        <v>-5</v>
      </c>
      <c r="F11" t="s">
        <v>41</v>
      </c>
    </row>
    <row r="12" spans="1:6">
      <c r="A12" t="s">
        <v>42</v>
      </c>
      <c r="B12" t="s">
        <v>43</v>
      </c>
      <c r="C12" t="s">
        <v>12</v>
      </c>
      <c r="D12" s="22">
        <v>0.2</v>
      </c>
      <c r="E12">
        <v>-12</v>
      </c>
      <c r="F12" t="s">
        <v>13</v>
      </c>
    </row>
    <row r="13" spans="1:6">
      <c r="A13" t="s">
        <v>44</v>
      </c>
      <c r="B13" t="s">
        <v>45</v>
      </c>
      <c r="C13" t="s">
        <v>46</v>
      </c>
      <c r="D13" s="22">
        <v>0.34</v>
      </c>
      <c r="E13">
        <v>-39</v>
      </c>
      <c r="F13" t="s">
        <v>21</v>
      </c>
    </row>
    <row r="14" spans="1:6">
      <c r="A14" t="s">
        <v>47</v>
      </c>
      <c r="B14" t="s">
        <v>48</v>
      </c>
      <c r="C14" t="s">
        <v>49</v>
      </c>
      <c r="D14" s="22">
        <v>0.47</v>
      </c>
      <c r="E14">
        <v>-12</v>
      </c>
      <c r="F14" t="s">
        <v>25</v>
      </c>
    </row>
    <row r="15" spans="1:6">
      <c r="A15" t="s">
        <v>50</v>
      </c>
      <c r="B15" t="s">
        <v>51</v>
      </c>
      <c r="C15" t="s">
        <v>52</v>
      </c>
      <c r="D15" s="22">
        <v>0.42</v>
      </c>
      <c r="E15">
        <v>-6</v>
      </c>
      <c r="F15" t="s">
        <v>9</v>
      </c>
    </row>
    <row r="16" spans="1:6">
      <c r="A16" t="s">
        <v>53</v>
      </c>
      <c r="B16" t="s">
        <v>54</v>
      </c>
      <c r="C16" t="s">
        <v>20</v>
      </c>
      <c r="D16" s="22">
        <v>0.33</v>
      </c>
      <c r="E16">
        <v>-9</v>
      </c>
      <c r="F16" t="s">
        <v>55</v>
      </c>
    </row>
    <row r="17" spans="1:6">
      <c r="A17" t="s">
        <v>56</v>
      </c>
      <c r="B17" t="s">
        <v>57</v>
      </c>
      <c r="C17" t="s">
        <v>58</v>
      </c>
      <c r="D17" s="22">
        <v>0.51</v>
      </c>
      <c r="E17">
        <v>-2</v>
      </c>
      <c r="F17" t="s">
        <v>59</v>
      </c>
    </row>
    <row r="18" spans="1:6">
      <c r="A18" t="s">
        <v>60</v>
      </c>
      <c r="B18" t="s">
        <v>61</v>
      </c>
      <c r="C18" t="s">
        <v>62</v>
      </c>
      <c r="D18" s="22">
        <v>0.46</v>
      </c>
      <c r="E18">
        <v>-2</v>
      </c>
      <c r="F18" t="s">
        <v>59</v>
      </c>
    </row>
    <row r="19" spans="1:6">
      <c r="A19" t="s">
        <v>63</v>
      </c>
      <c r="B19" t="s">
        <v>64</v>
      </c>
      <c r="C19" t="s">
        <v>65</v>
      </c>
      <c r="D19" s="22">
        <v>0.49</v>
      </c>
      <c r="E19">
        <v>-3</v>
      </c>
      <c r="F19" t="s">
        <v>59</v>
      </c>
    </row>
    <row r="20" spans="1:6">
      <c r="A20" t="s">
        <v>66</v>
      </c>
      <c r="B20" t="s">
        <v>27</v>
      </c>
      <c r="C20" t="s">
        <v>67</v>
      </c>
      <c r="D20" s="22">
        <v>0.19</v>
      </c>
      <c r="E20">
        <v>-5</v>
      </c>
      <c r="F20" t="s">
        <v>17</v>
      </c>
    </row>
    <row r="21" spans="1:6">
      <c r="A21" t="s">
        <v>68</v>
      </c>
      <c r="B21" t="s">
        <v>69</v>
      </c>
      <c r="C21" t="s">
        <v>70</v>
      </c>
      <c r="D21" s="22">
        <v>0.49</v>
      </c>
      <c r="E21">
        <v>-44</v>
      </c>
      <c r="F21" t="s">
        <v>17</v>
      </c>
    </row>
    <row r="22" spans="1:6">
      <c r="A22" t="s">
        <v>71</v>
      </c>
      <c r="B22" t="s">
        <v>72</v>
      </c>
      <c r="C22" t="s">
        <v>73</v>
      </c>
      <c r="D22" s="22">
        <v>0.53</v>
      </c>
      <c r="E22">
        <v>-13</v>
      </c>
      <c r="F22" t="s">
        <v>74</v>
      </c>
    </row>
    <row r="23" spans="1:6">
      <c r="A23" t="s">
        <v>75</v>
      </c>
      <c r="B23" t="s">
        <v>76</v>
      </c>
      <c r="C23" t="s">
        <v>77</v>
      </c>
      <c r="D23" s="22">
        <v>0.42</v>
      </c>
    </row>
    <row r="24" spans="1:6">
      <c r="A24" t="s">
        <v>78</v>
      </c>
      <c r="B24" t="s">
        <v>79</v>
      </c>
      <c r="C24" t="s">
        <v>80</v>
      </c>
      <c r="D24" s="22">
        <v>0.35</v>
      </c>
      <c r="E24">
        <v>-6</v>
      </c>
      <c r="F24" t="s">
        <v>29</v>
      </c>
    </row>
    <row r="25" spans="1:6">
      <c r="A25" t="s">
        <v>81</v>
      </c>
      <c r="B25" t="s">
        <v>82</v>
      </c>
      <c r="C25" t="s">
        <v>83</v>
      </c>
      <c r="D25" s="22">
        <v>0.23</v>
      </c>
      <c r="E25">
        <v>-14</v>
      </c>
      <c r="F25" t="s">
        <v>84</v>
      </c>
    </row>
    <row r="26" spans="1:6">
      <c r="A26" t="s">
        <v>85</v>
      </c>
      <c r="B26" t="s">
        <v>86</v>
      </c>
      <c r="C26" t="s">
        <v>87</v>
      </c>
      <c r="D26" s="22">
        <v>0.54</v>
      </c>
      <c r="E26">
        <v>-7</v>
      </c>
      <c r="F26" t="s">
        <v>88</v>
      </c>
    </row>
    <row r="27" spans="1:6">
      <c r="A27" t="s">
        <v>89</v>
      </c>
      <c r="B27" t="s">
        <v>90</v>
      </c>
      <c r="C27" t="s">
        <v>91</v>
      </c>
      <c r="D27" s="22">
        <v>0.35</v>
      </c>
      <c r="E27">
        <v>-49</v>
      </c>
      <c r="F27" t="s">
        <v>17</v>
      </c>
    </row>
    <row r="28" spans="1:6">
      <c r="A28" t="s">
        <v>92</v>
      </c>
      <c r="B28" t="s">
        <v>93</v>
      </c>
      <c r="C28" t="s">
        <v>94</v>
      </c>
      <c r="D28" s="22">
        <v>0.18</v>
      </c>
      <c r="E28">
        <v>-12</v>
      </c>
      <c r="F28" t="s">
        <v>41</v>
      </c>
    </row>
    <row r="29" spans="1:6">
      <c r="A29" t="s">
        <v>95</v>
      </c>
      <c r="B29" t="s">
        <v>80</v>
      </c>
      <c r="C29" t="s">
        <v>96</v>
      </c>
      <c r="D29" s="22">
        <v>0.32</v>
      </c>
      <c r="E29">
        <v>-13</v>
      </c>
      <c r="F29" t="s">
        <v>41</v>
      </c>
    </row>
    <row r="30" spans="1:6">
      <c r="A30" t="s">
        <v>97</v>
      </c>
      <c r="B30" t="s">
        <v>98</v>
      </c>
      <c r="C30" t="s">
        <v>20</v>
      </c>
      <c r="D30" s="22">
        <v>0.3</v>
      </c>
      <c r="E30">
        <v>-20</v>
      </c>
      <c r="F30" t="s">
        <v>13</v>
      </c>
    </row>
    <row r="31" spans="1:6">
      <c r="A31" t="s">
        <v>99</v>
      </c>
      <c r="B31" t="s">
        <v>100</v>
      </c>
      <c r="C31" t="s">
        <v>101</v>
      </c>
      <c r="D31" s="22">
        <v>0.46</v>
      </c>
    </row>
    <row r="32" spans="1:6">
      <c r="A32" t="s">
        <v>102</v>
      </c>
      <c r="B32" t="s">
        <v>103</v>
      </c>
      <c r="C32" t="s">
        <v>104</v>
      </c>
      <c r="D32" s="22">
        <v>0.52</v>
      </c>
      <c r="E32">
        <v>-9</v>
      </c>
      <c r="F32" t="s">
        <v>88</v>
      </c>
    </row>
    <row r="33" spans="1:6">
      <c r="A33" t="s">
        <v>105</v>
      </c>
      <c r="B33" t="s">
        <v>106</v>
      </c>
      <c r="C33" t="s">
        <v>107</v>
      </c>
      <c r="D33" s="22">
        <v>0.34</v>
      </c>
      <c r="E33">
        <v>-12</v>
      </c>
      <c r="F33" t="s">
        <v>21</v>
      </c>
    </row>
    <row r="34" spans="1:6">
      <c r="A34" t="s">
        <v>108</v>
      </c>
      <c r="B34" t="s">
        <v>109</v>
      </c>
      <c r="C34" t="s">
        <v>110</v>
      </c>
      <c r="D34" s="22">
        <v>0.48</v>
      </c>
      <c r="E34">
        <v>-9</v>
      </c>
      <c r="F34" t="s">
        <v>88</v>
      </c>
    </row>
    <row r="35" spans="1:6">
      <c r="A35" t="s">
        <v>111</v>
      </c>
      <c r="B35" t="s">
        <v>112</v>
      </c>
      <c r="C35" t="s">
        <v>113</v>
      </c>
      <c r="D35" s="22">
        <v>0.27</v>
      </c>
      <c r="E35">
        <v>-20</v>
      </c>
      <c r="F35" t="s">
        <v>21</v>
      </c>
    </row>
    <row r="36" spans="1:6">
      <c r="A36" t="s">
        <v>114</v>
      </c>
      <c r="B36" t="s">
        <v>115</v>
      </c>
      <c r="C36" t="s">
        <v>116</v>
      </c>
      <c r="D36" s="22">
        <v>0.27</v>
      </c>
      <c r="E36">
        <v>-32</v>
      </c>
      <c r="F36" t="s">
        <v>9</v>
      </c>
    </row>
    <row r="37" spans="1:6">
      <c r="A37" t="s">
        <v>117</v>
      </c>
      <c r="B37" t="s">
        <v>118</v>
      </c>
      <c r="C37" t="s">
        <v>119</v>
      </c>
      <c r="D37" s="22">
        <v>0.4</v>
      </c>
      <c r="E37">
        <v>-1</v>
      </c>
      <c r="F37" t="s">
        <v>59</v>
      </c>
    </row>
    <row r="38" spans="1:6">
      <c r="A38" t="s">
        <v>120</v>
      </c>
      <c r="B38" t="s">
        <v>121</v>
      </c>
      <c r="C38" t="s">
        <v>62</v>
      </c>
      <c r="D38" s="22">
        <v>0.53</v>
      </c>
      <c r="E38">
        <v>-2</v>
      </c>
      <c r="F38" t="s">
        <v>59</v>
      </c>
    </row>
    <row r="39" spans="1:6">
      <c r="A39" t="s">
        <v>122</v>
      </c>
      <c r="B39" t="s">
        <v>123</v>
      </c>
      <c r="C39" t="s">
        <v>124</v>
      </c>
      <c r="D39" s="22">
        <v>0.41</v>
      </c>
      <c r="E39">
        <v>-36</v>
      </c>
      <c r="F39" t="s">
        <v>88</v>
      </c>
    </row>
    <row r="40" spans="1:6">
      <c r="A40" t="s">
        <v>125</v>
      </c>
      <c r="B40" t="s">
        <v>126</v>
      </c>
      <c r="C40" t="s">
        <v>127</v>
      </c>
      <c r="D40" s="22">
        <v>0.38</v>
      </c>
      <c r="E40">
        <v>-2</v>
      </c>
      <c r="F40" t="s">
        <v>9</v>
      </c>
    </row>
    <row r="41" spans="1:6">
      <c r="A41" t="s">
        <v>128</v>
      </c>
      <c r="B41" t="s">
        <v>129</v>
      </c>
      <c r="C41" t="s">
        <v>130</v>
      </c>
      <c r="D41" s="22">
        <v>0.38</v>
      </c>
    </row>
    <row r="42" spans="1:6">
      <c r="A42" t="s">
        <v>131</v>
      </c>
      <c r="B42" t="s">
        <v>132</v>
      </c>
      <c r="C42" t="s">
        <v>133</v>
      </c>
      <c r="D42" s="22">
        <v>0.49</v>
      </c>
    </row>
    <row r="43" spans="1:6">
      <c r="A43" t="s">
        <v>134</v>
      </c>
      <c r="B43" t="s">
        <v>135</v>
      </c>
      <c r="C43" t="s">
        <v>136</v>
      </c>
      <c r="D43" s="22">
        <v>0.5</v>
      </c>
    </row>
    <row r="44" spans="1:6">
      <c r="A44" t="s">
        <v>137</v>
      </c>
      <c r="B44" t="s">
        <v>138</v>
      </c>
      <c r="C44" t="s">
        <v>139</v>
      </c>
      <c r="D44" s="22">
        <v>0.42</v>
      </c>
    </row>
    <row r="45" spans="1:6">
      <c r="A45" t="s">
        <v>137</v>
      </c>
      <c r="B45" t="s">
        <v>138</v>
      </c>
      <c r="C45" t="s">
        <v>139</v>
      </c>
      <c r="D45" s="22">
        <v>0.42</v>
      </c>
    </row>
    <row r="46" spans="1:6">
      <c r="A46" t="s">
        <v>140</v>
      </c>
      <c r="B46" t="s">
        <v>141</v>
      </c>
      <c r="C46" t="s">
        <v>142</v>
      </c>
      <c r="D46" s="22">
        <v>0.02</v>
      </c>
    </row>
    <row r="47" spans="1:6">
      <c r="A47" t="s">
        <v>143</v>
      </c>
      <c r="B47" t="s">
        <v>12</v>
      </c>
      <c r="C47" t="s">
        <v>144</v>
      </c>
      <c r="D47" s="22">
        <v>0.5</v>
      </c>
    </row>
    <row r="48" spans="1:6">
      <c r="A48" t="s">
        <v>145</v>
      </c>
      <c r="B48" t="s">
        <v>146</v>
      </c>
      <c r="C48" t="s">
        <v>147</v>
      </c>
      <c r="D48" s="22">
        <v>0.33</v>
      </c>
    </row>
    <row r="49" spans="1:6">
      <c r="A49" t="s">
        <v>148</v>
      </c>
      <c r="B49" t="s">
        <v>149</v>
      </c>
      <c r="C49" t="s">
        <v>150</v>
      </c>
      <c r="D49" s="22">
        <v>0.49</v>
      </c>
    </row>
    <row r="50" spans="1:6">
      <c r="A50" t="s">
        <v>151</v>
      </c>
      <c r="B50" t="s">
        <v>152</v>
      </c>
      <c r="C50" t="s">
        <v>153</v>
      </c>
      <c r="D50" s="22">
        <v>0.38</v>
      </c>
    </row>
    <row r="51" spans="1:6">
      <c r="A51" t="s">
        <v>154</v>
      </c>
      <c r="B51" t="s">
        <v>155</v>
      </c>
      <c r="C51" t="s">
        <v>156</v>
      </c>
      <c r="D51" s="22">
        <v>0.61</v>
      </c>
    </row>
    <row r="52" spans="1:6">
      <c r="A52" t="s">
        <v>157</v>
      </c>
      <c r="B52" t="s">
        <v>158</v>
      </c>
      <c r="C52" t="s">
        <v>159</v>
      </c>
      <c r="D52" s="22">
        <v>0.5</v>
      </c>
    </row>
    <row r="53" spans="1:6">
      <c r="A53" t="s">
        <v>160</v>
      </c>
      <c r="B53" t="s">
        <v>161</v>
      </c>
      <c r="C53" t="s">
        <v>162</v>
      </c>
      <c r="D53" s="22">
        <v>0.02</v>
      </c>
    </row>
    <row r="54" spans="1:6">
      <c r="A54" t="s">
        <v>163</v>
      </c>
      <c r="B54" t="s">
        <v>158</v>
      </c>
      <c r="C54" t="s">
        <v>164</v>
      </c>
      <c r="D54" s="22">
        <v>0.22</v>
      </c>
    </row>
    <row r="55" spans="1:6">
      <c r="A55" t="s">
        <v>165</v>
      </c>
      <c r="B55" t="s">
        <v>166</v>
      </c>
      <c r="C55" t="s">
        <v>167</v>
      </c>
      <c r="D55" s="22">
        <v>0.03</v>
      </c>
    </row>
    <row r="56" spans="1:6">
      <c r="A56" t="s">
        <v>168</v>
      </c>
      <c r="B56" t="s">
        <v>43</v>
      </c>
      <c r="C56" t="s">
        <v>169</v>
      </c>
      <c r="D56" s="22">
        <v>0.41</v>
      </c>
    </row>
    <row r="57" spans="1:6">
      <c r="A57" t="s">
        <v>170</v>
      </c>
      <c r="B57" t="s">
        <v>171</v>
      </c>
      <c r="C57" t="s">
        <v>172</v>
      </c>
      <c r="D57" s="22">
        <v>0.45</v>
      </c>
    </row>
    <row r="58" spans="1:6">
      <c r="A58" t="s">
        <v>173</v>
      </c>
      <c r="B58" t="s">
        <v>174</v>
      </c>
      <c r="C58" t="s">
        <v>169</v>
      </c>
      <c r="D58" s="22">
        <v>0.48</v>
      </c>
    </row>
    <row r="59" spans="1:6">
      <c r="A59" t="s">
        <v>175</v>
      </c>
      <c r="B59" t="s">
        <v>43</v>
      </c>
      <c r="C59" t="s">
        <v>176</v>
      </c>
      <c r="D59" s="22">
        <v>0.49</v>
      </c>
    </row>
    <row r="60" spans="1:6">
      <c r="A60" t="s">
        <v>177</v>
      </c>
      <c r="B60" t="s">
        <v>178</v>
      </c>
      <c r="C60" t="s">
        <v>179</v>
      </c>
      <c r="D60" s="22">
        <v>0.27</v>
      </c>
    </row>
    <row r="61" spans="1:6">
      <c r="A61" t="s">
        <v>170</v>
      </c>
      <c r="B61" t="s">
        <v>180</v>
      </c>
      <c r="C61" t="s">
        <v>181</v>
      </c>
      <c r="D61" s="22">
        <v>0.55</v>
      </c>
    </row>
    <row r="62" spans="1:6">
      <c r="A62" t="s">
        <v>182</v>
      </c>
      <c r="B62" t="s">
        <v>183</v>
      </c>
      <c r="C62" t="s">
        <v>184</v>
      </c>
      <c r="D62" s="22">
        <v>0.13</v>
      </c>
      <c r="E62">
        <v>-6</v>
      </c>
      <c r="F62" t="s">
        <v>185</v>
      </c>
    </row>
    <row r="63" spans="1:6">
      <c r="A63" t="s">
        <v>186</v>
      </c>
      <c r="B63" t="s">
        <v>187</v>
      </c>
      <c r="C63" t="s">
        <v>188</v>
      </c>
      <c r="D63" s="22">
        <v>0.54</v>
      </c>
      <c r="E63">
        <v>-10</v>
      </c>
      <c r="F63" t="s">
        <v>189</v>
      </c>
    </row>
    <row r="64" spans="1:6">
      <c r="A64" t="s">
        <v>190</v>
      </c>
      <c r="B64" t="s">
        <v>191</v>
      </c>
      <c r="C64" t="s">
        <v>192</v>
      </c>
      <c r="D64" s="22">
        <v>0.55</v>
      </c>
      <c r="E64">
        <v>-13</v>
      </c>
      <c r="F64" t="s">
        <v>193</v>
      </c>
    </row>
    <row r="65" spans="1:6">
      <c r="A65" t="s">
        <v>194</v>
      </c>
      <c r="B65" t="s">
        <v>195</v>
      </c>
      <c r="C65" t="s">
        <v>196</v>
      </c>
      <c r="D65" s="22">
        <v>0.49</v>
      </c>
      <c r="E65">
        <v>-69</v>
      </c>
      <c r="F65" t="s">
        <v>197</v>
      </c>
    </row>
    <row r="66" spans="1:6">
      <c r="A66" t="s">
        <v>198</v>
      </c>
      <c r="B66" t="s">
        <v>199</v>
      </c>
      <c r="C66" t="s">
        <v>200</v>
      </c>
      <c r="D66" s="22">
        <v>0.52</v>
      </c>
      <c r="E66">
        <v>-15</v>
      </c>
      <c r="F66" t="s">
        <v>201</v>
      </c>
    </row>
    <row r="67" spans="1:6">
      <c r="A67" t="s">
        <v>202</v>
      </c>
      <c r="B67" t="s">
        <v>203</v>
      </c>
      <c r="C67" t="s">
        <v>204</v>
      </c>
      <c r="D67" s="22">
        <v>0.22</v>
      </c>
      <c r="E67">
        <v>-16</v>
      </c>
      <c r="F67" t="s">
        <v>205</v>
      </c>
    </row>
    <row r="68" spans="1:6">
      <c r="A68" t="s">
        <v>206</v>
      </c>
      <c r="B68" t="s">
        <v>45</v>
      </c>
      <c r="C68" t="s">
        <v>207</v>
      </c>
      <c r="D68" s="22">
        <v>0.45</v>
      </c>
      <c r="E68">
        <v>-6</v>
      </c>
      <c r="F68" t="s">
        <v>208</v>
      </c>
    </row>
    <row r="69" spans="1:6">
      <c r="A69" t="s">
        <v>209</v>
      </c>
      <c r="B69" t="s">
        <v>210</v>
      </c>
      <c r="C69" t="s">
        <v>144</v>
      </c>
      <c r="D69" s="22">
        <v>0.5</v>
      </c>
      <c r="E69">
        <v>-7</v>
      </c>
      <c r="F69" t="s">
        <v>211</v>
      </c>
    </row>
    <row r="70" spans="1:6">
      <c r="A70" t="s">
        <v>212</v>
      </c>
      <c r="B70" t="s">
        <v>213</v>
      </c>
      <c r="C70" t="s">
        <v>214</v>
      </c>
      <c r="D70" s="22">
        <v>0.39</v>
      </c>
      <c r="E70">
        <v>-5</v>
      </c>
      <c r="F70" t="s">
        <v>189</v>
      </c>
    </row>
    <row r="71" spans="1:6">
      <c r="A71" t="s">
        <v>215</v>
      </c>
      <c r="B71" t="s">
        <v>104</v>
      </c>
      <c r="C71" t="s">
        <v>216</v>
      </c>
      <c r="D71" s="22">
        <v>0.45</v>
      </c>
      <c r="E71">
        <v>-17</v>
      </c>
      <c r="F71" t="s">
        <v>217</v>
      </c>
    </row>
    <row r="72" spans="1:6">
      <c r="A72" t="s">
        <v>218</v>
      </c>
      <c r="B72" t="s">
        <v>219</v>
      </c>
      <c r="C72" t="s">
        <v>220</v>
      </c>
      <c r="D72" s="22">
        <v>0.29</v>
      </c>
      <c r="E72">
        <v>-5</v>
      </c>
      <c r="F72" t="s">
        <v>189</v>
      </c>
    </row>
    <row r="73" spans="1:6">
      <c r="A73" t="s">
        <v>221</v>
      </c>
      <c r="B73" t="s">
        <v>222</v>
      </c>
      <c r="C73" t="s">
        <v>223</v>
      </c>
      <c r="D73" s="22">
        <v>0.43</v>
      </c>
      <c r="E73">
        <v>-6</v>
      </c>
      <c r="F73" t="s">
        <v>211</v>
      </c>
    </row>
    <row r="74" spans="1:6">
      <c r="A74" t="s">
        <v>224</v>
      </c>
      <c r="B74" t="s">
        <v>225</v>
      </c>
      <c r="C74" t="s">
        <v>226</v>
      </c>
      <c r="D74" s="22">
        <v>0.43</v>
      </c>
      <c r="E74">
        <v>-5</v>
      </c>
      <c r="F74" t="s">
        <v>189</v>
      </c>
    </row>
    <row r="75" spans="1:6">
      <c r="A75" t="s">
        <v>227</v>
      </c>
      <c r="B75" t="s">
        <v>228</v>
      </c>
      <c r="C75" t="s">
        <v>207</v>
      </c>
      <c r="D75" s="22">
        <v>0.47</v>
      </c>
      <c r="E75">
        <v>-6</v>
      </c>
      <c r="F75" t="s">
        <v>208</v>
      </c>
    </row>
    <row r="76" spans="1:6">
      <c r="A76" t="s">
        <v>229</v>
      </c>
      <c r="B76" t="s">
        <v>230</v>
      </c>
      <c r="C76" t="s">
        <v>231</v>
      </c>
      <c r="D76" s="22">
        <v>0.47</v>
      </c>
      <c r="E76">
        <v>-7</v>
      </c>
      <c r="F76" t="s">
        <v>193</v>
      </c>
    </row>
    <row r="77" spans="1:6">
      <c r="A77" t="s">
        <v>232</v>
      </c>
      <c r="B77" t="s">
        <v>233</v>
      </c>
      <c r="C77" t="s">
        <v>234</v>
      </c>
      <c r="D77" s="22">
        <v>0.47</v>
      </c>
    </row>
    <row r="78" spans="1:6">
      <c r="A78" t="s">
        <v>235</v>
      </c>
      <c r="B78" t="s">
        <v>236</v>
      </c>
      <c r="C78" t="s">
        <v>152</v>
      </c>
      <c r="D78" s="22">
        <v>0.43</v>
      </c>
    </row>
    <row r="79" spans="1:6">
      <c r="A79" t="s">
        <v>237</v>
      </c>
      <c r="B79" t="s">
        <v>238</v>
      </c>
      <c r="C79" t="s">
        <v>239</v>
      </c>
      <c r="D79" s="22">
        <v>0.04</v>
      </c>
    </row>
    <row r="80" spans="1:6">
      <c r="A80" t="s">
        <v>240</v>
      </c>
      <c r="B80" t="s">
        <v>241</v>
      </c>
      <c r="C80" t="s">
        <v>242</v>
      </c>
      <c r="D80" s="22">
        <v>0.49</v>
      </c>
    </row>
    <row r="81" spans="1:6">
      <c r="A81" t="s">
        <v>243</v>
      </c>
      <c r="B81" t="s">
        <v>244</v>
      </c>
      <c r="C81" t="s">
        <v>15</v>
      </c>
      <c r="D81" s="22">
        <v>0.46</v>
      </c>
      <c r="E81">
        <v>-1</v>
      </c>
      <c r="F81" t="s">
        <v>189</v>
      </c>
    </row>
    <row r="82" spans="1:6">
      <c r="A82" t="s">
        <v>245</v>
      </c>
      <c r="B82" t="s">
        <v>246</v>
      </c>
      <c r="C82" t="s">
        <v>247</v>
      </c>
      <c r="D82" s="22">
        <v>0.49</v>
      </c>
      <c r="E82">
        <v>-1</v>
      </c>
      <c r="F82" t="s">
        <v>59</v>
      </c>
    </row>
    <row r="83" spans="1:6">
      <c r="A83" t="s">
        <v>248</v>
      </c>
      <c r="B83" t="s">
        <v>249</v>
      </c>
      <c r="C83" t="s">
        <v>250</v>
      </c>
      <c r="D83" s="22">
        <v>0.36</v>
      </c>
    </row>
    <row r="84" spans="1:6">
      <c r="A84" t="s">
        <v>251</v>
      </c>
      <c r="B84" t="s">
        <v>252</v>
      </c>
      <c r="C84" t="s">
        <v>162</v>
      </c>
      <c r="D84" s="22">
        <v>0.02</v>
      </c>
    </row>
    <row r="85" spans="1:6">
      <c r="A85" t="s">
        <v>253</v>
      </c>
      <c r="B85" t="s">
        <v>254</v>
      </c>
      <c r="C85" t="s">
        <v>91</v>
      </c>
      <c r="D85" s="22">
        <v>0.49</v>
      </c>
      <c r="E85">
        <v>-1</v>
      </c>
      <c r="F85" t="s">
        <v>29</v>
      </c>
    </row>
    <row r="86" spans="1:6">
      <c r="A86" t="s">
        <v>137</v>
      </c>
      <c r="B86" t="s">
        <v>138</v>
      </c>
      <c r="C86" t="s">
        <v>139</v>
      </c>
      <c r="D86" s="22">
        <v>0.42</v>
      </c>
    </row>
    <row r="87" spans="1:6">
      <c r="A87" t="s">
        <v>154</v>
      </c>
      <c r="B87" t="s">
        <v>255</v>
      </c>
      <c r="C87" t="s">
        <v>222</v>
      </c>
      <c r="D87" s="22">
        <v>0.49</v>
      </c>
    </row>
    <row r="88" spans="1:6">
      <c r="A88" t="s">
        <v>256</v>
      </c>
      <c r="B88" t="s">
        <v>257</v>
      </c>
      <c r="C88" t="s">
        <v>162</v>
      </c>
      <c r="D88" s="22">
        <v>0.14</v>
      </c>
    </row>
    <row r="89" spans="1:6">
      <c r="A89" t="s">
        <v>258</v>
      </c>
      <c r="B89" t="s">
        <v>259</v>
      </c>
      <c r="C89" t="s">
        <v>260</v>
      </c>
      <c r="D89" s="22">
        <v>0.49</v>
      </c>
    </row>
    <row r="90" spans="1:6">
      <c r="A90" t="s">
        <v>261</v>
      </c>
      <c r="B90" t="s">
        <v>43</v>
      </c>
      <c r="C90" t="s">
        <v>172</v>
      </c>
      <c r="D90" s="22">
        <v>0.11</v>
      </c>
    </row>
    <row r="91" spans="1:6">
      <c r="A91" t="s">
        <v>175</v>
      </c>
      <c r="B91" t="s">
        <v>262</v>
      </c>
      <c r="C91" t="s">
        <v>263</v>
      </c>
      <c r="D91" s="22">
        <v>0.49</v>
      </c>
    </row>
    <row r="92" spans="1:6">
      <c r="A92" t="s">
        <v>264</v>
      </c>
      <c r="B92" t="s">
        <v>265</v>
      </c>
      <c r="C92" t="s">
        <v>162</v>
      </c>
      <c r="D92" s="22">
        <v>0.14</v>
      </c>
    </row>
    <row r="93" spans="1:6">
      <c r="A93" t="s">
        <v>266</v>
      </c>
      <c r="B93" t="s">
        <v>267</v>
      </c>
      <c r="C93" t="s">
        <v>268</v>
      </c>
      <c r="D93" s="22">
        <v>0.43</v>
      </c>
    </row>
    <row r="94" spans="1:6">
      <c r="A94" t="s">
        <v>269</v>
      </c>
      <c r="B94" t="s">
        <v>270</v>
      </c>
      <c r="C94" t="s">
        <v>271</v>
      </c>
      <c r="D94" s="22">
        <v>0.5</v>
      </c>
    </row>
    <row r="95" spans="1:6">
      <c r="A95" t="s">
        <v>272</v>
      </c>
      <c r="B95" t="s">
        <v>273</v>
      </c>
      <c r="C95" t="s">
        <v>184</v>
      </c>
      <c r="D95" s="22">
        <v>0.48</v>
      </c>
    </row>
    <row r="96" spans="1:6">
      <c r="A96" t="s">
        <v>274</v>
      </c>
      <c r="B96" t="s">
        <v>275</v>
      </c>
      <c r="C96" t="s">
        <v>276</v>
      </c>
      <c r="D96" s="22">
        <v>0.48</v>
      </c>
    </row>
    <row r="97" spans="1:6">
      <c r="A97" t="s">
        <v>277</v>
      </c>
      <c r="B97" t="s">
        <v>226</v>
      </c>
      <c r="C97" t="s">
        <v>162</v>
      </c>
      <c r="D97" s="22">
        <v>0.47</v>
      </c>
    </row>
    <row r="98" spans="1:6">
      <c r="A98" t="s">
        <v>277</v>
      </c>
      <c r="B98" t="s">
        <v>226</v>
      </c>
      <c r="C98" t="s">
        <v>162</v>
      </c>
      <c r="D98" s="22">
        <v>0.47</v>
      </c>
    </row>
    <row r="99" spans="1:6">
      <c r="A99" t="s">
        <v>278</v>
      </c>
      <c r="B99" t="s">
        <v>152</v>
      </c>
      <c r="C99" t="s">
        <v>279</v>
      </c>
      <c r="D99" s="22">
        <v>0.5</v>
      </c>
    </row>
    <row r="100" spans="1:6">
      <c r="A100" t="s">
        <v>280</v>
      </c>
      <c r="B100" t="s">
        <v>281</v>
      </c>
      <c r="C100" t="s">
        <v>161</v>
      </c>
      <c r="D100" s="22">
        <v>0.08</v>
      </c>
    </row>
    <row r="101" spans="1:6">
      <c r="A101" t="s">
        <v>282</v>
      </c>
      <c r="B101" t="s">
        <v>283</v>
      </c>
      <c r="C101" t="s">
        <v>167</v>
      </c>
      <c r="D101" s="22">
        <v>0.02</v>
      </c>
    </row>
    <row r="102" spans="1:6">
      <c r="A102" t="s">
        <v>284</v>
      </c>
      <c r="B102" t="s">
        <v>285</v>
      </c>
      <c r="C102" t="s">
        <v>286</v>
      </c>
      <c r="D102" s="22">
        <v>0.49</v>
      </c>
    </row>
    <row r="103" spans="1:6">
      <c r="A103" t="s">
        <v>287</v>
      </c>
      <c r="B103" t="s">
        <v>288</v>
      </c>
      <c r="C103" t="s">
        <v>67</v>
      </c>
      <c r="D103" s="22">
        <v>0.04</v>
      </c>
    </row>
    <row r="104" spans="1:6">
      <c r="A104" t="s">
        <v>289</v>
      </c>
      <c r="B104" t="s">
        <v>290</v>
      </c>
      <c r="C104" t="s">
        <v>291</v>
      </c>
      <c r="D104" s="22">
        <v>0.49</v>
      </c>
    </row>
    <row r="105" spans="1:6">
      <c r="A105" t="s">
        <v>292</v>
      </c>
      <c r="B105" t="s">
        <v>293</v>
      </c>
      <c r="C105" t="s">
        <v>294</v>
      </c>
      <c r="D105" s="22">
        <v>0.42</v>
      </c>
    </row>
    <row r="106" spans="1:6">
      <c r="A106" t="s">
        <v>295</v>
      </c>
      <c r="B106" t="s">
        <v>296</v>
      </c>
      <c r="C106" t="s">
        <v>297</v>
      </c>
      <c r="D106" s="22">
        <v>0.21</v>
      </c>
      <c r="E106">
        <v>-1</v>
      </c>
      <c r="F106" t="s">
        <v>59</v>
      </c>
    </row>
    <row r="107" spans="1:6">
      <c r="A107" t="s">
        <v>298</v>
      </c>
      <c r="B107" t="s">
        <v>299</v>
      </c>
      <c r="C107" t="s">
        <v>300</v>
      </c>
      <c r="D107" s="22">
        <v>0.41</v>
      </c>
    </row>
    <row r="108" spans="1:6">
      <c r="A108" t="s">
        <v>301</v>
      </c>
      <c r="B108" t="s">
        <v>302</v>
      </c>
      <c r="C108" t="s">
        <v>303</v>
      </c>
      <c r="D108" s="22">
        <v>0.01</v>
      </c>
    </row>
    <row r="109" spans="1:6">
      <c r="A109" t="s">
        <v>304</v>
      </c>
      <c r="B109" t="s">
        <v>305</v>
      </c>
      <c r="C109" t="s">
        <v>306</v>
      </c>
      <c r="D109" s="22">
        <v>0.24</v>
      </c>
    </row>
    <row r="110" spans="1:6">
      <c r="A110" t="s">
        <v>307</v>
      </c>
      <c r="B110" t="s">
        <v>308</v>
      </c>
      <c r="C110" t="s">
        <v>309</v>
      </c>
      <c r="D110" s="22">
        <v>0.34</v>
      </c>
    </row>
    <row r="111" spans="1:6">
      <c r="A111" t="s">
        <v>310</v>
      </c>
      <c r="B111" t="s">
        <v>146</v>
      </c>
      <c r="C111" t="s">
        <v>311</v>
      </c>
      <c r="D111" s="22">
        <v>0.34</v>
      </c>
    </row>
    <row r="112" spans="1:6">
      <c r="A112" t="s">
        <v>312</v>
      </c>
      <c r="B112" t="s">
        <v>313</v>
      </c>
      <c r="C112" t="s">
        <v>162</v>
      </c>
      <c r="D112" s="22">
        <v>0.02</v>
      </c>
    </row>
    <row r="113" spans="1:6">
      <c r="A113" t="s">
        <v>314</v>
      </c>
      <c r="B113" t="s">
        <v>315</v>
      </c>
      <c r="C113" t="s">
        <v>239</v>
      </c>
      <c r="D113" s="22">
        <v>0.02</v>
      </c>
    </row>
    <row r="114" spans="1:6">
      <c r="A114" t="s">
        <v>316</v>
      </c>
      <c r="B114" t="s">
        <v>155</v>
      </c>
      <c r="C114" t="s">
        <v>317</v>
      </c>
      <c r="D114" s="22">
        <v>0.64</v>
      </c>
    </row>
    <row r="115" spans="1:6">
      <c r="A115" t="s">
        <v>318</v>
      </c>
      <c r="B115" t="s">
        <v>242</v>
      </c>
      <c r="C115" t="s">
        <v>172</v>
      </c>
      <c r="D115" s="22">
        <v>0.5</v>
      </c>
      <c r="E115">
        <v>-1</v>
      </c>
      <c r="F115" t="s">
        <v>319</v>
      </c>
    </row>
    <row r="116" spans="1:6">
      <c r="A116" t="s">
        <v>320</v>
      </c>
      <c r="B116" t="s">
        <v>321</v>
      </c>
      <c r="C116" t="s">
        <v>322</v>
      </c>
      <c r="D116" s="22">
        <v>0.47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workbookViewId="0">
      <selection activeCell="H13" sqref="H13"/>
    </sheetView>
  </sheetViews>
  <sheetFormatPr defaultColWidth="9.12380952380952" defaultRowHeight="15" outlineLevelCol="7"/>
  <sheetData>
    <row r="1" ht="21" spans="1:1">
      <c r="A1" s="12" t="s">
        <v>323</v>
      </c>
    </row>
    <row r="3" spans="1:1">
      <c r="A3" s="7" t="s">
        <v>324</v>
      </c>
    </row>
    <row r="4" spans="1:1">
      <c r="A4" t="s">
        <v>325</v>
      </c>
    </row>
    <row r="6" spans="1:1">
      <c r="A6" t="s">
        <v>326</v>
      </c>
    </row>
    <row r="8" spans="1:1">
      <c r="A8" s="23" t="s">
        <v>327</v>
      </c>
    </row>
    <row r="9" spans="1:1">
      <c r="A9" s="24" t="s">
        <v>328</v>
      </c>
    </row>
    <row r="10" spans="1:1">
      <c r="A10" s="24" t="s">
        <v>329</v>
      </c>
    </row>
    <row r="11" spans="1:1">
      <c r="A11" s="24" t="s">
        <v>330</v>
      </c>
    </row>
    <row r="14" spans="1:1">
      <c r="A14" s="7" t="s">
        <v>331</v>
      </c>
    </row>
    <row r="15" spans="1:1">
      <c r="A15" t="s">
        <v>332</v>
      </c>
    </row>
    <row r="16" spans="1:1">
      <c r="A16" s="14" t="s">
        <v>333</v>
      </c>
    </row>
    <row r="17" spans="1:8">
      <c r="A17" s="14" t="s">
        <v>334</v>
      </c>
    </row>
    <row r="18" spans="1:8">
      <c r="A18" s="14" t="s">
        <v>335</v>
      </c>
    </row>
    <row r="19" spans="1:8">
      <c r="A19" s="14" t="s">
        <v>336</v>
      </c>
    </row>
    <row r="20" spans="1:8">
      <c r="A20" s="14" t="s">
        <v>337</v>
      </c>
    </row>
    <row r="21" spans="1:8">
      <c r="A21" s="14" t="s">
        <v>338</v>
      </c>
    </row>
    <row r="22" spans="1:8">
      <c r="A22" s="14" t="s">
        <v>339</v>
      </c>
    </row>
    <row r="25" spans="1:8">
      <c r="A25" s="15" t="s">
        <v>340</v>
      </c>
      <c r="B25" s="16"/>
      <c r="C25" s="16"/>
      <c r="D25" s="16"/>
      <c r="E25" s="16"/>
      <c r="F25" s="16"/>
      <c r="G25" s="16"/>
      <c r="H25" s="16"/>
    </row>
    <row r="26" ht="15.75" spans="1:8">
      <c r="A26" s="25" t="s">
        <v>341</v>
      </c>
      <c r="B26" s="16"/>
      <c r="C26" s="16"/>
      <c r="D26" s="16"/>
      <c r="E26" s="16"/>
      <c r="F26" s="16"/>
      <c r="G26" s="16"/>
      <c r="H26" s="16"/>
    </row>
    <row r="27" ht="15.75" spans="1:8">
      <c r="A27" s="18" t="s">
        <v>342</v>
      </c>
      <c r="B27" s="16"/>
      <c r="C27" s="16"/>
      <c r="D27" s="16"/>
      <c r="E27" s="16"/>
      <c r="F27" s="16"/>
      <c r="G27" s="16"/>
      <c r="H27" s="16"/>
    </row>
    <row r="28" ht="15.75" spans="1:8">
      <c r="A28" s="19" t="s">
        <v>343</v>
      </c>
      <c r="B28" s="16"/>
      <c r="C28" s="16"/>
      <c r="D28" s="16"/>
      <c r="E28" s="16"/>
      <c r="F28" s="16"/>
      <c r="G28" s="16"/>
      <c r="H28" s="16"/>
    </row>
    <row r="29" ht="15.75" spans="1:8">
      <c r="A29" s="17" t="s">
        <v>344</v>
      </c>
      <c r="B29" s="16"/>
      <c r="C29" s="16"/>
      <c r="D29" s="16"/>
      <c r="E29" s="16"/>
      <c r="F29" s="16"/>
      <c r="G29" s="16"/>
      <c r="H29" s="16"/>
    </row>
    <row r="30" spans="1:8">
      <c r="A30" s="20" t="s">
        <v>345</v>
      </c>
      <c r="B30" s="16"/>
      <c r="C30" s="16"/>
      <c r="D30" s="16"/>
      <c r="E30" s="16"/>
      <c r="F30" s="16"/>
      <c r="G30" s="16"/>
      <c r="H30" s="16"/>
    </row>
    <row r="31" ht="15.75" spans="1:8">
      <c r="A31" s="25" t="s">
        <v>346</v>
      </c>
      <c r="B31" s="16"/>
      <c r="C31" s="16"/>
      <c r="D31" s="16"/>
      <c r="E31" s="16"/>
      <c r="F31" s="16"/>
      <c r="G31" s="16"/>
      <c r="H31" s="16"/>
    </row>
    <row r="32" ht="15.75" spans="1:8">
      <c r="A32" s="19" t="s">
        <v>347</v>
      </c>
      <c r="B32" s="16"/>
      <c r="C32" s="16"/>
      <c r="D32" s="16"/>
      <c r="E32" s="16"/>
      <c r="F32" s="16"/>
      <c r="G32" s="16"/>
      <c r="H32" s="16"/>
    </row>
    <row r="33" ht="15.75" spans="1:8">
      <c r="A33" s="17" t="s">
        <v>348</v>
      </c>
      <c r="B33" s="16"/>
      <c r="C33" s="16"/>
      <c r="D33" s="16"/>
      <c r="E33" s="16"/>
      <c r="F33" s="16"/>
      <c r="G33" s="16"/>
      <c r="H33" s="16"/>
    </row>
    <row r="34" ht="15.75" spans="1:8">
      <c r="A34" s="19" t="s">
        <v>349</v>
      </c>
      <c r="B34" s="16"/>
      <c r="C34" s="16"/>
      <c r="D34" s="16"/>
      <c r="E34" s="16"/>
      <c r="F34" s="16"/>
      <c r="G34" s="16"/>
      <c r="H34" s="16"/>
    </row>
    <row r="36" spans="1:8">
      <c r="A36" s="7" t="s">
        <v>350</v>
      </c>
    </row>
    <row r="37" spans="1:8">
      <c r="A37" t="s">
        <v>351</v>
      </c>
    </row>
    <row r="38" spans="1:8">
      <c r="A38" t="s">
        <v>352</v>
      </c>
    </row>
    <row r="39" spans="1:8">
      <c r="A39" t="s">
        <v>353</v>
      </c>
    </row>
    <row r="40" spans="1:8">
      <c r="A40" t="s">
        <v>354</v>
      </c>
    </row>
    <row r="41" spans="1:8">
      <c r="A41" t="s">
        <v>355</v>
      </c>
    </row>
    <row r="42" spans="1:8">
      <c r="A42" s="21" t="s">
        <v>356</v>
      </c>
    </row>
    <row r="43" spans="1:8">
      <c r="A43" s="21" t="s">
        <v>357</v>
      </c>
    </row>
    <row r="44" spans="1:8">
      <c r="A44" s="21" t="s">
        <v>358</v>
      </c>
    </row>
    <row r="45" spans="1:8">
      <c r="A45" t="s">
        <v>359</v>
      </c>
    </row>
    <row r="48" spans="1:8">
      <c r="A48" s="7" t="s">
        <v>360</v>
      </c>
    </row>
    <row r="50" spans="1:1">
      <c r="A50" t="s">
        <v>361</v>
      </c>
    </row>
    <row r="51" spans="1:1">
      <c r="A51" t="s">
        <v>362</v>
      </c>
    </row>
    <row r="52" spans="1:1">
      <c r="A52" t="s">
        <v>363</v>
      </c>
    </row>
    <row r="53" spans="1:1">
      <c r="A53" t="s">
        <v>364</v>
      </c>
    </row>
    <row r="54" spans="1:1">
      <c r="A54" t="s">
        <v>365</v>
      </c>
    </row>
    <row r="55" spans="1:1">
      <c r="A55" t="s">
        <v>366</v>
      </c>
    </row>
    <row r="56" spans="1:1">
      <c r="A56" t="s">
        <v>367</v>
      </c>
    </row>
    <row r="57" spans="1:1">
      <c r="A57" t="s">
        <v>368</v>
      </c>
    </row>
    <row r="58" spans="1:1">
      <c r="A58" t="s">
        <v>369</v>
      </c>
    </row>
    <row r="59" spans="1:1">
      <c r="A59" t="s">
        <v>370</v>
      </c>
    </row>
    <row r="60" spans="1:1">
      <c r="A60" t="s">
        <v>371</v>
      </c>
    </row>
    <row r="61" spans="1:1">
      <c r="A61" t="s">
        <v>372</v>
      </c>
    </row>
    <row r="62" spans="1:1">
      <c r="A62" t="s">
        <v>373</v>
      </c>
    </row>
    <row r="64" spans="1:1">
      <c r="A64" s="21" t="s">
        <v>374</v>
      </c>
    </row>
    <row r="65" spans="1:1">
      <c r="A65" t="s">
        <v>375</v>
      </c>
    </row>
    <row r="68" spans="1:1">
      <c r="A68" s="7" t="s">
        <v>376</v>
      </c>
    </row>
    <row r="69" spans="1:1">
      <c r="A69" s="24" t="s">
        <v>377</v>
      </c>
    </row>
    <row r="70" spans="1:1">
      <c r="A70" s="24" t="s">
        <v>378</v>
      </c>
    </row>
    <row r="71" spans="1:1">
      <c r="A71" s="24" t="s">
        <v>379</v>
      </c>
    </row>
    <row r="72" spans="1:1">
      <c r="A72" s="24" t="s">
        <v>380</v>
      </c>
    </row>
    <row r="73" spans="1:1">
      <c r="A73" s="24" t="s">
        <v>381</v>
      </c>
    </row>
    <row r="75" spans="1:1">
      <c r="A75" s="7" t="s">
        <v>382</v>
      </c>
    </row>
    <row r="76" spans="1:1">
      <c r="A76" t="s">
        <v>383</v>
      </c>
    </row>
    <row r="77" spans="1:1">
      <c r="A77" t="s">
        <v>384</v>
      </c>
    </row>
    <row r="78" spans="1:1">
      <c r="A78" t="s">
        <v>385</v>
      </c>
    </row>
    <row r="79" spans="1:1">
      <c r="A79" t="s">
        <v>386</v>
      </c>
    </row>
    <row r="80" spans="1:1">
      <c r="A80" t="s">
        <v>387</v>
      </c>
    </row>
    <row r="82" spans="1:1">
      <c r="A82" s="7" t="s">
        <v>388</v>
      </c>
    </row>
    <row r="83" spans="1:1">
      <c r="A83" s="24" t="s">
        <v>389</v>
      </c>
    </row>
    <row r="84" spans="1:1">
      <c r="A84" s="24" t="s">
        <v>390</v>
      </c>
    </row>
    <row r="85" spans="1:1">
      <c r="A85" s="24" t="s">
        <v>391</v>
      </c>
    </row>
    <row r="86" spans="1:1">
      <c r="A86" s="24" t="s">
        <v>392</v>
      </c>
    </row>
    <row r="87" spans="1:1">
      <c r="A87" s="24" t="s">
        <v>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"/>
  <sheetViews>
    <sheetView workbookViewId="0">
      <pane ySplit="1" topLeftCell="A2" activePane="bottomLeft" state="frozen"/>
      <selection/>
      <selection pane="bottomLeft" activeCell="R23" sqref="R23"/>
    </sheetView>
  </sheetViews>
  <sheetFormatPr defaultColWidth="10.247619047619" defaultRowHeight="15"/>
  <cols>
    <col min="1" max="1" width="79.6285714285714" customWidth="1"/>
    <col min="2" max="2" width="19.8761904761905" style="8" customWidth="1"/>
    <col min="3" max="3" width="20" style="8" customWidth="1"/>
    <col min="4" max="4" width="11.8761904761905" style="9" customWidth="1"/>
    <col min="5" max="5" width="15.8761904761905" customWidth="1"/>
    <col min="6" max="6" width="18" customWidth="1"/>
    <col min="7" max="7" width="15" customWidth="1"/>
    <col min="8" max="8" width="29.1238095238095" customWidth="1"/>
    <col min="9" max="9" width="17.6285714285714" customWidth="1"/>
    <col min="10" max="10" width="20" customWidth="1"/>
    <col min="12" max="12" width="11.8761904761905" style="9" customWidth="1"/>
    <col min="13" max="13" width="13.8571428571429" customWidth="1"/>
    <col min="14" max="14" width="18" customWidth="1"/>
  </cols>
  <sheetData>
    <row r="1" spans="1:16">
      <c r="A1" s="7" t="s">
        <v>394</v>
      </c>
      <c r="B1" s="10" t="s">
        <v>1</v>
      </c>
      <c r="C1" s="10" t="s">
        <v>2</v>
      </c>
      <c r="D1" s="11" t="s">
        <v>3</v>
      </c>
      <c r="E1" s="7" t="s">
        <v>4</v>
      </c>
      <c r="F1" s="7" t="s">
        <v>395</v>
      </c>
      <c r="G1" s="7" t="s">
        <v>396</v>
      </c>
      <c r="H1" s="7" t="s">
        <v>397</v>
      </c>
      <c r="I1" s="7" t="s">
        <v>398</v>
      </c>
      <c r="J1" s="7" t="s">
        <v>399</v>
      </c>
      <c r="K1" s="7"/>
      <c r="L1" s="11" t="s">
        <v>3</v>
      </c>
      <c r="M1" s="7" t="s">
        <v>400</v>
      </c>
      <c r="N1" s="7" t="s">
        <v>395</v>
      </c>
      <c r="O1" s="7"/>
      <c r="P1" s="7"/>
    </row>
    <row r="2" spans="1:16">
      <c r="A2" t="s">
        <v>6</v>
      </c>
      <c r="B2" s="8">
        <v>950</v>
      </c>
      <c r="C2" s="8">
        <v>1525</v>
      </c>
      <c r="D2" s="9">
        <v>0.38</v>
      </c>
      <c r="E2">
        <v>-2</v>
      </c>
      <c r="F2">
        <v>4.5</v>
      </c>
      <c r="G2">
        <f>ABS(E2)</f>
        <v>2</v>
      </c>
      <c r="H2">
        <f>C2-B2</f>
        <v>575</v>
      </c>
      <c r="I2" t="str">
        <f>IF(F2&lt;3,"Poor",IF(F2&lt;=4.4,"Average ","Excellent"))</f>
        <v>Excellent</v>
      </c>
      <c r="J2" t="str">
        <f>IF(D2&lt;20%,"Low",IF(D2&lt;=40%,"Medium","High"))</f>
        <v>Medium</v>
      </c>
      <c r="L2" s="9">
        <v>0.38</v>
      </c>
      <c r="M2">
        <f>G2</f>
        <v>2</v>
      </c>
      <c r="N2">
        <v>4.5</v>
      </c>
    </row>
    <row r="3" spans="1:16">
      <c r="A3" t="s">
        <v>10</v>
      </c>
      <c r="B3" s="8">
        <v>527</v>
      </c>
      <c r="C3" s="8">
        <v>999</v>
      </c>
      <c r="D3" s="9">
        <v>0.47</v>
      </c>
      <c r="E3">
        <v>-14</v>
      </c>
      <c r="F3">
        <v>4.1</v>
      </c>
      <c r="G3">
        <f t="shared" ref="G3:G34" si="0">ABS(E3)</f>
        <v>14</v>
      </c>
      <c r="H3">
        <f t="shared" ref="H3:H34" si="1">C3-B3</f>
        <v>472</v>
      </c>
      <c r="I3" t="str">
        <f t="shared" ref="I3:I34" si="2">IF(F3&lt;3,"Poor",IF(F3&lt;=4.4,"Average ","Excellent"))</f>
        <v>Average </v>
      </c>
      <c r="J3" t="str">
        <f t="shared" ref="J3:J34" si="3">IF(D3&lt;20%,"Low",IF(D3&lt;=40%,"Medium","High"))</f>
        <v>High</v>
      </c>
      <c r="L3" s="9">
        <v>0.47</v>
      </c>
      <c r="M3">
        <f t="shared" ref="M3:M34" si="4">G3</f>
        <v>14</v>
      </c>
      <c r="N3">
        <v>4.1</v>
      </c>
    </row>
    <row r="4" spans="1:16">
      <c r="A4" t="s">
        <v>14</v>
      </c>
      <c r="B4" s="8">
        <v>2199</v>
      </c>
      <c r="C4" s="8">
        <v>2923</v>
      </c>
      <c r="D4" s="9">
        <v>0.25</v>
      </c>
      <c r="E4">
        <v>-24</v>
      </c>
      <c r="F4">
        <v>4.6</v>
      </c>
      <c r="G4">
        <f t="shared" si="0"/>
        <v>24</v>
      </c>
      <c r="H4">
        <f t="shared" si="1"/>
        <v>724</v>
      </c>
      <c r="I4" t="str">
        <f t="shared" si="2"/>
        <v>Excellent</v>
      </c>
      <c r="J4" t="str">
        <f t="shared" si="3"/>
        <v>Medium</v>
      </c>
      <c r="L4" s="9">
        <v>0.25</v>
      </c>
      <c r="M4">
        <f t="shared" si="4"/>
        <v>24</v>
      </c>
      <c r="N4">
        <v>4.6</v>
      </c>
    </row>
    <row r="5" spans="1:16">
      <c r="A5" t="s">
        <v>18</v>
      </c>
      <c r="B5" s="8">
        <v>1580</v>
      </c>
      <c r="C5" s="8">
        <v>2499</v>
      </c>
      <c r="D5" s="9">
        <v>0.37</v>
      </c>
      <c r="E5">
        <v>-7</v>
      </c>
      <c r="F5">
        <v>4.7</v>
      </c>
      <c r="G5">
        <f t="shared" si="0"/>
        <v>7</v>
      </c>
      <c r="H5">
        <f t="shared" si="1"/>
        <v>919</v>
      </c>
      <c r="I5" t="str">
        <f t="shared" si="2"/>
        <v>Excellent</v>
      </c>
      <c r="J5" t="str">
        <f t="shared" si="3"/>
        <v>Medium</v>
      </c>
      <c r="L5" s="9">
        <v>0.37</v>
      </c>
      <c r="M5">
        <f t="shared" si="4"/>
        <v>7</v>
      </c>
      <c r="N5">
        <v>4.7</v>
      </c>
    </row>
    <row r="6" spans="1:16">
      <c r="A6" t="s">
        <v>22</v>
      </c>
      <c r="B6" s="8">
        <v>1740</v>
      </c>
      <c r="C6" s="8">
        <v>2356</v>
      </c>
      <c r="D6" s="9">
        <v>0.26</v>
      </c>
      <c r="E6">
        <v>-5</v>
      </c>
      <c r="F6">
        <v>4.8</v>
      </c>
      <c r="G6">
        <f t="shared" si="0"/>
        <v>5</v>
      </c>
      <c r="H6">
        <f t="shared" si="1"/>
        <v>616</v>
      </c>
      <c r="I6" t="str">
        <f t="shared" si="2"/>
        <v>Excellent</v>
      </c>
      <c r="J6" t="str">
        <f t="shared" si="3"/>
        <v>Medium</v>
      </c>
      <c r="L6" s="9">
        <v>0.26</v>
      </c>
      <c r="M6">
        <f t="shared" si="4"/>
        <v>5</v>
      </c>
      <c r="N6">
        <v>4.8</v>
      </c>
    </row>
    <row r="7" spans="1:16">
      <c r="A7" t="s">
        <v>26</v>
      </c>
      <c r="B7" s="8">
        <v>2999</v>
      </c>
      <c r="C7" s="8">
        <v>3290</v>
      </c>
      <c r="D7" s="9">
        <v>0.09</v>
      </c>
      <c r="E7">
        <v>-15</v>
      </c>
      <c r="F7">
        <v>4</v>
      </c>
      <c r="G7">
        <f t="shared" si="0"/>
        <v>15</v>
      </c>
      <c r="H7">
        <f t="shared" si="1"/>
        <v>291</v>
      </c>
      <c r="I7" t="str">
        <f t="shared" si="2"/>
        <v>Average </v>
      </c>
      <c r="J7" t="str">
        <f t="shared" si="3"/>
        <v>Low</v>
      </c>
      <c r="L7" s="9">
        <v>0.09</v>
      </c>
      <c r="M7">
        <f t="shared" si="4"/>
        <v>15</v>
      </c>
      <c r="N7">
        <v>4</v>
      </c>
    </row>
    <row r="8" spans="1:16">
      <c r="A8" t="s">
        <v>30</v>
      </c>
      <c r="B8" s="8">
        <v>2319</v>
      </c>
      <c r="C8" s="8">
        <v>3032</v>
      </c>
      <c r="D8" s="9">
        <v>0.24</v>
      </c>
      <c r="E8">
        <v>-55</v>
      </c>
      <c r="F8">
        <v>4.6</v>
      </c>
      <c r="G8">
        <f t="shared" si="0"/>
        <v>55</v>
      </c>
      <c r="H8">
        <f t="shared" si="1"/>
        <v>713</v>
      </c>
      <c r="I8" t="str">
        <f t="shared" si="2"/>
        <v>Excellent</v>
      </c>
      <c r="J8" t="str">
        <f t="shared" si="3"/>
        <v>Medium</v>
      </c>
      <c r="L8" s="9">
        <v>0.24</v>
      </c>
      <c r="M8">
        <f t="shared" si="4"/>
        <v>55</v>
      </c>
      <c r="N8">
        <v>4.6</v>
      </c>
    </row>
    <row r="9" spans="1:16">
      <c r="A9" t="s">
        <v>33</v>
      </c>
      <c r="B9" s="8">
        <v>988</v>
      </c>
      <c r="C9" s="8">
        <v>1580</v>
      </c>
      <c r="D9" s="9">
        <v>0.37</v>
      </c>
      <c r="E9">
        <v>-2</v>
      </c>
      <c r="F9">
        <v>4</v>
      </c>
      <c r="G9">
        <f t="shared" si="0"/>
        <v>2</v>
      </c>
      <c r="H9">
        <f t="shared" si="1"/>
        <v>592</v>
      </c>
      <c r="I9" t="str">
        <f t="shared" si="2"/>
        <v>Average </v>
      </c>
      <c r="J9" t="str">
        <f t="shared" si="3"/>
        <v>Medium</v>
      </c>
      <c r="L9" s="9">
        <v>0.37</v>
      </c>
      <c r="M9">
        <f t="shared" si="4"/>
        <v>2</v>
      </c>
      <c r="N9">
        <v>4</v>
      </c>
    </row>
    <row r="10" spans="1:16">
      <c r="A10" t="s">
        <v>35</v>
      </c>
      <c r="B10" s="8">
        <v>1274</v>
      </c>
      <c r="C10" s="8">
        <v>2800</v>
      </c>
      <c r="D10" s="9">
        <v>0.55</v>
      </c>
      <c r="E10">
        <v>-5</v>
      </c>
      <c r="F10">
        <v>4.8</v>
      </c>
      <c r="G10">
        <f t="shared" si="0"/>
        <v>5</v>
      </c>
      <c r="H10">
        <f t="shared" si="1"/>
        <v>1526</v>
      </c>
      <c r="I10" t="str">
        <f t="shared" si="2"/>
        <v>Excellent</v>
      </c>
      <c r="J10" t="str">
        <f t="shared" si="3"/>
        <v>High</v>
      </c>
      <c r="L10" s="9">
        <v>0.55</v>
      </c>
      <c r="M10">
        <f t="shared" si="4"/>
        <v>5</v>
      </c>
      <c r="N10">
        <v>4.8</v>
      </c>
    </row>
    <row r="11" spans="1:16">
      <c r="A11" t="s">
        <v>38</v>
      </c>
      <c r="B11" s="8">
        <v>1600</v>
      </c>
      <c r="C11" s="8">
        <v>2929</v>
      </c>
      <c r="D11" s="9">
        <v>0.45</v>
      </c>
      <c r="E11">
        <v>-5</v>
      </c>
      <c r="F11">
        <v>3.8</v>
      </c>
      <c r="G11">
        <f t="shared" si="0"/>
        <v>5</v>
      </c>
      <c r="H11">
        <f t="shared" si="1"/>
        <v>1329</v>
      </c>
      <c r="I11" t="str">
        <f t="shared" si="2"/>
        <v>Average </v>
      </c>
      <c r="J11" t="str">
        <f t="shared" si="3"/>
        <v>High</v>
      </c>
      <c r="L11" s="9">
        <v>0.45</v>
      </c>
      <c r="M11">
        <f t="shared" si="4"/>
        <v>5</v>
      </c>
      <c r="N11">
        <v>3.8</v>
      </c>
    </row>
    <row r="12" spans="1:16">
      <c r="A12" t="s">
        <v>42</v>
      </c>
      <c r="B12" s="8">
        <v>799</v>
      </c>
      <c r="C12" s="8">
        <v>999</v>
      </c>
      <c r="D12" s="9">
        <v>0.2</v>
      </c>
      <c r="E12">
        <v>-12</v>
      </c>
      <c r="F12">
        <v>4.1</v>
      </c>
      <c r="G12">
        <f t="shared" si="0"/>
        <v>12</v>
      </c>
      <c r="H12">
        <f t="shared" si="1"/>
        <v>200</v>
      </c>
      <c r="I12" t="str">
        <f t="shared" si="2"/>
        <v>Average </v>
      </c>
      <c r="J12" t="str">
        <f t="shared" si="3"/>
        <v>Medium</v>
      </c>
      <c r="L12" s="9">
        <v>0.2</v>
      </c>
      <c r="M12">
        <f t="shared" si="4"/>
        <v>12</v>
      </c>
      <c r="N12">
        <v>4.1</v>
      </c>
    </row>
    <row r="13" spans="1:16">
      <c r="A13" t="s">
        <v>44</v>
      </c>
      <c r="B13" s="8">
        <v>990</v>
      </c>
      <c r="C13" s="8">
        <v>1500</v>
      </c>
      <c r="D13" s="9">
        <v>0.34</v>
      </c>
      <c r="E13">
        <v>-39</v>
      </c>
      <c r="F13">
        <v>4.7</v>
      </c>
      <c r="G13">
        <f t="shared" si="0"/>
        <v>39</v>
      </c>
      <c r="H13">
        <f t="shared" si="1"/>
        <v>510</v>
      </c>
      <c r="I13" t="str">
        <f t="shared" si="2"/>
        <v>Excellent</v>
      </c>
      <c r="J13" t="str">
        <f t="shared" si="3"/>
        <v>Medium</v>
      </c>
      <c r="L13" s="9">
        <v>0.34</v>
      </c>
      <c r="M13">
        <f t="shared" si="4"/>
        <v>39</v>
      </c>
      <c r="N13">
        <v>4.7</v>
      </c>
    </row>
    <row r="14" spans="1:16">
      <c r="A14" t="s">
        <v>47</v>
      </c>
      <c r="B14" s="8">
        <v>552</v>
      </c>
      <c r="C14" s="8">
        <v>1035</v>
      </c>
      <c r="D14" s="9">
        <v>0.47</v>
      </c>
      <c r="E14">
        <v>-12</v>
      </c>
      <c r="F14">
        <v>4.8</v>
      </c>
      <c r="G14">
        <f t="shared" si="0"/>
        <v>12</v>
      </c>
      <c r="H14">
        <f t="shared" si="1"/>
        <v>483</v>
      </c>
      <c r="I14" t="str">
        <f t="shared" si="2"/>
        <v>Excellent</v>
      </c>
      <c r="J14" t="str">
        <f t="shared" si="3"/>
        <v>High</v>
      </c>
      <c r="L14" s="9">
        <v>0.47</v>
      </c>
      <c r="M14">
        <f t="shared" si="4"/>
        <v>12</v>
      </c>
      <c r="N14">
        <v>4.8</v>
      </c>
    </row>
    <row r="15" spans="1:16">
      <c r="A15" t="s">
        <v>50</v>
      </c>
      <c r="B15" s="8">
        <v>501</v>
      </c>
      <c r="C15" s="8">
        <v>860</v>
      </c>
      <c r="D15" s="9">
        <v>0.42</v>
      </c>
      <c r="E15">
        <v>-6</v>
      </c>
      <c r="F15">
        <v>4.5</v>
      </c>
      <c r="G15">
        <f t="shared" si="0"/>
        <v>6</v>
      </c>
      <c r="H15">
        <f t="shared" si="1"/>
        <v>359</v>
      </c>
      <c r="I15" t="str">
        <f t="shared" si="2"/>
        <v>Excellent</v>
      </c>
      <c r="J15" t="str">
        <f t="shared" si="3"/>
        <v>High</v>
      </c>
      <c r="L15" s="9">
        <v>0.42</v>
      </c>
      <c r="M15">
        <f t="shared" si="4"/>
        <v>6</v>
      </c>
      <c r="N15">
        <v>4.5</v>
      </c>
    </row>
    <row r="16" spans="1:16">
      <c r="A16" t="s">
        <v>53</v>
      </c>
      <c r="B16" s="8">
        <v>1680</v>
      </c>
      <c r="C16" s="8">
        <v>2499</v>
      </c>
      <c r="D16" s="9">
        <v>0.33</v>
      </c>
      <c r="E16">
        <v>-9</v>
      </c>
      <c r="F16">
        <v>4.2</v>
      </c>
      <c r="G16">
        <f t="shared" si="0"/>
        <v>9</v>
      </c>
      <c r="H16">
        <f t="shared" si="1"/>
        <v>819</v>
      </c>
      <c r="I16" t="str">
        <f t="shared" si="2"/>
        <v>Average </v>
      </c>
      <c r="J16" t="str">
        <f t="shared" si="3"/>
        <v>Medium</v>
      </c>
      <c r="L16" s="9">
        <v>0.33</v>
      </c>
      <c r="M16">
        <f t="shared" si="4"/>
        <v>9</v>
      </c>
      <c r="N16">
        <v>4.2</v>
      </c>
    </row>
    <row r="17" spans="1:14">
      <c r="A17" t="s">
        <v>56</v>
      </c>
      <c r="B17" s="8">
        <v>332</v>
      </c>
      <c r="C17" s="8">
        <v>684</v>
      </c>
      <c r="D17" s="9">
        <v>0.51</v>
      </c>
      <c r="E17">
        <v>-2</v>
      </c>
      <c r="F17">
        <v>5</v>
      </c>
      <c r="G17">
        <f t="shared" si="0"/>
        <v>2</v>
      </c>
      <c r="H17">
        <f t="shared" si="1"/>
        <v>352</v>
      </c>
      <c r="I17" t="str">
        <f t="shared" si="2"/>
        <v>Excellent</v>
      </c>
      <c r="J17" t="str">
        <f t="shared" si="3"/>
        <v>High</v>
      </c>
      <c r="L17" s="9">
        <v>0.51</v>
      </c>
      <c r="M17">
        <f t="shared" si="4"/>
        <v>2</v>
      </c>
      <c r="N17">
        <v>5</v>
      </c>
    </row>
    <row r="18" spans="1:14">
      <c r="A18" t="s">
        <v>60</v>
      </c>
      <c r="B18" s="8">
        <v>195</v>
      </c>
      <c r="C18" s="8">
        <v>360</v>
      </c>
      <c r="D18" s="9">
        <v>0.46</v>
      </c>
      <c r="E18">
        <v>-2</v>
      </c>
      <c r="F18">
        <v>5</v>
      </c>
      <c r="G18">
        <f t="shared" si="0"/>
        <v>2</v>
      </c>
      <c r="H18">
        <f t="shared" si="1"/>
        <v>165</v>
      </c>
      <c r="I18" t="str">
        <f t="shared" si="2"/>
        <v>Excellent</v>
      </c>
      <c r="J18" t="str">
        <f t="shared" si="3"/>
        <v>High</v>
      </c>
      <c r="L18" s="9">
        <v>0.46</v>
      </c>
      <c r="M18">
        <f t="shared" si="4"/>
        <v>2</v>
      </c>
      <c r="N18">
        <v>5</v>
      </c>
    </row>
    <row r="19" spans="1:14">
      <c r="A19" t="s">
        <v>63</v>
      </c>
      <c r="B19" s="8">
        <v>2025</v>
      </c>
      <c r="C19" s="8">
        <v>3971</v>
      </c>
      <c r="D19" s="9">
        <v>0.49</v>
      </c>
      <c r="E19">
        <v>-3</v>
      </c>
      <c r="F19">
        <v>5</v>
      </c>
      <c r="G19">
        <f t="shared" si="0"/>
        <v>3</v>
      </c>
      <c r="H19">
        <f t="shared" si="1"/>
        <v>1946</v>
      </c>
      <c r="I19" t="str">
        <f t="shared" si="2"/>
        <v>Excellent</v>
      </c>
      <c r="J19" t="str">
        <f t="shared" si="3"/>
        <v>High</v>
      </c>
      <c r="L19" s="9">
        <v>0.49</v>
      </c>
      <c r="M19">
        <f t="shared" si="4"/>
        <v>3</v>
      </c>
      <c r="N19">
        <v>5</v>
      </c>
    </row>
    <row r="20" spans="1:14">
      <c r="A20" t="s">
        <v>66</v>
      </c>
      <c r="B20" s="8">
        <v>2999</v>
      </c>
      <c r="C20" s="8">
        <v>3699</v>
      </c>
      <c r="D20" s="9">
        <v>0.19</v>
      </c>
      <c r="E20">
        <v>-5</v>
      </c>
      <c r="F20">
        <v>4.6</v>
      </c>
      <c r="G20">
        <f t="shared" si="0"/>
        <v>5</v>
      </c>
      <c r="H20">
        <f t="shared" si="1"/>
        <v>700</v>
      </c>
      <c r="I20" t="str">
        <f t="shared" si="2"/>
        <v>Excellent</v>
      </c>
      <c r="J20" t="str">
        <f t="shared" si="3"/>
        <v>Low</v>
      </c>
      <c r="L20" s="9">
        <v>0.19</v>
      </c>
      <c r="M20">
        <f t="shared" si="4"/>
        <v>5</v>
      </c>
      <c r="N20">
        <v>4.6</v>
      </c>
    </row>
    <row r="21" spans="1:14">
      <c r="A21" t="s">
        <v>68</v>
      </c>
      <c r="B21" s="8">
        <v>998</v>
      </c>
      <c r="C21" s="8">
        <v>1966</v>
      </c>
      <c r="D21" s="9">
        <v>0.49</v>
      </c>
      <c r="E21">
        <v>-44</v>
      </c>
      <c r="F21">
        <v>4.6</v>
      </c>
      <c r="G21">
        <f t="shared" si="0"/>
        <v>44</v>
      </c>
      <c r="H21">
        <f t="shared" si="1"/>
        <v>968</v>
      </c>
      <c r="I21" t="str">
        <f t="shared" si="2"/>
        <v>Excellent</v>
      </c>
      <c r="J21" t="str">
        <f t="shared" si="3"/>
        <v>High</v>
      </c>
      <c r="L21" s="9">
        <v>0.49</v>
      </c>
      <c r="M21">
        <f t="shared" si="4"/>
        <v>44</v>
      </c>
      <c r="N21">
        <v>4.6</v>
      </c>
    </row>
    <row r="22" spans="1:14">
      <c r="A22" t="s">
        <v>71</v>
      </c>
      <c r="B22" s="8">
        <v>38</v>
      </c>
      <c r="C22" s="8">
        <v>80</v>
      </c>
      <c r="D22" s="9">
        <v>0.53</v>
      </c>
      <c r="E22">
        <v>-13</v>
      </c>
      <c r="F22">
        <v>3.3</v>
      </c>
      <c r="G22">
        <f t="shared" si="0"/>
        <v>13</v>
      </c>
      <c r="H22">
        <f t="shared" si="1"/>
        <v>42</v>
      </c>
      <c r="I22" t="str">
        <f t="shared" si="2"/>
        <v>Average </v>
      </c>
      <c r="J22" t="str">
        <f t="shared" si="3"/>
        <v>High</v>
      </c>
      <c r="L22" s="9">
        <v>0.53</v>
      </c>
      <c r="M22">
        <f t="shared" si="4"/>
        <v>13</v>
      </c>
      <c r="N22">
        <v>3.3</v>
      </c>
    </row>
    <row r="23" spans="1:14">
      <c r="A23" t="s">
        <v>75</v>
      </c>
      <c r="B23" s="8">
        <v>1860</v>
      </c>
      <c r="C23" s="8">
        <v>3220</v>
      </c>
      <c r="D23" s="9">
        <v>0.42</v>
      </c>
      <c r="E23">
        <v>0</v>
      </c>
      <c r="F23">
        <v>0</v>
      </c>
      <c r="G23">
        <f t="shared" si="0"/>
        <v>0</v>
      </c>
      <c r="H23">
        <f t="shared" si="1"/>
        <v>1360</v>
      </c>
      <c r="I23" t="str">
        <f t="shared" si="2"/>
        <v>Poor</v>
      </c>
      <c r="J23" t="str">
        <f t="shared" si="3"/>
        <v>High</v>
      </c>
      <c r="L23" s="9">
        <v>0.42</v>
      </c>
      <c r="M23">
        <f t="shared" si="4"/>
        <v>0</v>
      </c>
      <c r="N23">
        <v>0</v>
      </c>
    </row>
    <row r="24" spans="1:14">
      <c r="A24" t="s">
        <v>78</v>
      </c>
      <c r="B24" s="8">
        <v>880</v>
      </c>
      <c r="C24" s="8">
        <v>1350</v>
      </c>
      <c r="D24" s="9">
        <v>0.35</v>
      </c>
      <c r="E24">
        <v>-6</v>
      </c>
      <c r="F24">
        <v>4</v>
      </c>
      <c r="G24">
        <f t="shared" si="0"/>
        <v>6</v>
      </c>
      <c r="H24">
        <f t="shared" si="1"/>
        <v>470</v>
      </c>
      <c r="I24" t="str">
        <f t="shared" si="2"/>
        <v>Average </v>
      </c>
      <c r="J24" t="str">
        <f t="shared" si="3"/>
        <v>Medium</v>
      </c>
      <c r="L24" s="9">
        <v>0.35</v>
      </c>
      <c r="M24">
        <f t="shared" si="4"/>
        <v>6</v>
      </c>
      <c r="N24">
        <v>4</v>
      </c>
    </row>
    <row r="25" spans="1:14">
      <c r="A25" t="s">
        <v>81</v>
      </c>
      <c r="B25" s="8">
        <v>1650</v>
      </c>
      <c r="C25" s="8">
        <v>2150</v>
      </c>
      <c r="D25" s="9">
        <v>0.23</v>
      </c>
      <c r="E25">
        <v>-14</v>
      </c>
      <c r="F25">
        <v>4.4</v>
      </c>
      <c r="G25">
        <f t="shared" si="0"/>
        <v>14</v>
      </c>
      <c r="H25">
        <f t="shared" si="1"/>
        <v>500</v>
      </c>
      <c r="I25" t="str">
        <f t="shared" si="2"/>
        <v>Average </v>
      </c>
      <c r="J25" t="str">
        <f t="shared" si="3"/>
        <v>Medium</v>
      </c>
      <c r="L25" s="9">
        <v>0.23</v>
      </c>
      <c r="M25">
        <f t="shared" si="4"/>
        <v>14</v>
      </c>
      <c r="N25">
        <v>4.4</v>
      </c>
    </row>
    <row r="26" spans="1:14">
      <c r="A26" t="s">
        <v>85</v>
      </c>
      <c r="B26" s="8">
        <v>2048</v>
      </c>
      <c r="C26" s="8">
        <v>4500</v>
      </c>
      <c r="D26" s="9">
        <v>0.54</v>
      </c>
      <c r="E26">
        <v>-7</v>
      </c>
      <c r="F26">
        <v>4.3</v>
      </c>
      <c r="G26">
        <f t="shared" si="0"/>
        <v>7</v>
      </c>
      <c r="H26">
        <f t="shared" si="1"/>
        <v>2452</v>
      </c>
      <c r="I26" t="str">
        <f t="shared" si="2"/>
        <v>Average </v>
      </c>
      <c r="J26" t="str">
        <f t="shared" si="3"/>
        <v>High</v>
      </c>
      <c r="L26" s="9">
        <v>0.54</v>
      </c>
      <c r="M26">
        <f t="shared" si="4"/>
        <v>7</v>
      </c>
      <c r="N26">
        <v>4.3</v>
      </c>
    </row>
    <row r="27" spans="1:14">
      <c r="A27" t="s">
        <v>89</v>
      </c>
      <c r="B27" s="8">
        <v>420</v>
      </c>
      <c r="C27" s="8">
        <v>647</v>
      </c>
      <c r="D27" s="9">
        <v>0.35</v>
      </c>
      <c r="E27">
        <v>-49</v>
      </c>
      <c r="F27">
        <v>4.6</v>
      </c>
      <c r="G27">
        <f t="shared" si="0"/>
        <v>49</v>
      </c>
      <c r="H27">
        <f t="shared" si="1"/>
        <v>227</v>
      </c>
      <c r="I27" t="str">
        <f t="shared" si="2"/>
        <v>Excellent</v>
      </c>
      <c r="J27" t="str">
        <f t="shared" si="3"/>
        <v>Medium</v>
      </c>
      <c r="L27" s="9">
        <v>0.35</v>
      </c>
      <c r="M27">
        <f t="shared" si="4"/>
        <v>49</v>
      </c>
      <c r="N27">
        <v>4.6</v>
      </c>
    </row>
    <row r="28" spans="1:14">
      <c r="A28" t="s">
        <v>92</v>
      </c>
      <c r="B28" s="8">
        <v>2880</v>
      </c>
      <c r="C28" s="8">
        <v>3520</v>
      </c>
      <c r="D28" s="9">
        <v>0.18</v>
      </c>
      <c r="E28">
        <v>-12</v>
      </c>
      <c r="F28">
        <v>3.8</v>
      </c>
      <c r="G28">
        <f t="shared" si="0"/>
        <v>12</v>
      </c>
      <c r="H28">
        <f t="shared" si="1"/>
        <v>640</v>
      </c>
      <c r="I28" t="str">
        <f t="shared" si="2"/>
        <v>Average </v>
      </c>
      <c r="J28" t="str">
        <f t="shared" si="3"/>
        <v>Low</v>
      </c>
      <c r="L28" s="9">
        <v>0.18</v>
      </c>
      <c r="M28">
        <f t="shared" si="4"/>
        <v>12</v>
      </c>
      <c r="N28">
        <v>3.8</v>
      </c>
    </row>
    <row r="29" spans="1:14">
      <c r="A29" t="s">
        <v>95</v>
      </c>
      <c r="B29" s="8">
        <v>1350</v>
      </c>
      <c r="C29" s="8">
        <v>1990</v>
      </c>
      <c r="D29" s="9">
        <v>0.32</v>
      </c>
      <c r="E29">
        <v>-13</v>
      </c>
      <c r="F29">
        <v>3.8</v>
      </c>
      <c r="G29">
        <f t="shared" si="0"/>
        <v>13</v>
      </c>
      <c r="H29">
        <f t="shared" si="1"/>
        <v>640</v>
      </c>
      <c r="I29" t="str">
        <f t="shared" si="2"/>
        <v>Average </v>
      </c>
      <c r="J29" t="str">
        <f t="shared" si="3"/>
        <v>Medium</v>
      </c>
      <c r="L29" s="9">
        <v>0.32</v>
      </c>
      <c r="M29">
        <f t="shared" si="4"/>
        <v>13</v>
      </c>
      <c r="N29">
        <v>3.8</v>
      </c>
    </row>
    <row r="30" spans="1:14">
      <c r="A30" t="s">
        <v>97</v>
      </c>
      <c r="B30" s="8">
        <v>1758</v>
      </c>
      <c r="C30" s="8">
        <v>2499</v>
      </c>
      <c r="D30" s="9">
        <v>0.3</v>
      </c>
      <c r="E30">
        <v>-20</v>
      </c>
      <c r="F30">
        <v>4.1</v>
      </c>
      <c r="G30">
        <f t="shared" si="0"/>
        <v>20</v>
      </c>
      <c r="H30">
        <f t="shared" si="1"/>
        <v>741</v>
      </c>
      <c r="I30" t="str">
        <f t="shared" si="2"/>
        <v>Average </v>
      </c>
      <c r="J30" t="str">
        <f t="shared" si="3"/>
        <v>Medium</v>
      </c>
      <c r="L30" s="9">
        <v>0.3</v>
      </c>
      <c r="M30">
        <f t="shared" si="4"/>
        <v>20</v>
      </c>
      <c r="N30">
        <v>4.1</v>
      </c>
    </row>
    <row r="31" spans="1:14">
      <c r="A31" t="s">
        <v>99</v>
      </c>
      <c r="B31" s="8">
        <v>2200</v>
      </c>
      <c r="C31" s="8">
        <v>4080</v>
      </c>
      <c r="D31" s="9">
        <v>0.46</v>
      </c>
      <c r="E31">
        <v>0</v>
      </c>
      <c r="F31">
        <v>0</v>
      </c>
      <c r="G31">
        <f t="shared" si="0"/>
        <v>0</v>
      </c>
      <c r="H31">
        <f t="shared" si="1"/>
        <v>1880</v>
      </c>
      <c r="I31" t="str">
        <f t="shared" si="2"/>
        <v>Poor</v>
      </c>
      <c r="J31" t="str">
        <f t="shared" si="3"/>
        <v>High</v>
      </c>
      <c r="L31" s="9">
        <v>0.46</v>
      </c>
      <c r="M31">
        <f t="shared" si="4"/>
        <v>0</v>
      </c>
      <c r="N31">
        <v>0</v>
      </c>
    </row>
    <row r="32" spans="1:14">
      <c r="A32" t="s">
        <v>102</v>
      </c>
      <c r="B32" s="8">
        <v>185</v>
      </c>
      <c r="C32" s="8">
        <v>382</v>
      </c>
      <c r="D32" s="9">
        <v>0.52</v>
      </c>
      <c r="E32">
        <v>-9</v>
      </c>
      <c r="F32">
        <v>4.3</v>
      </c>
      <c r="G32">
        <f t="shared" si="0"/>
        <v>9</v>
      </c>
      <c r="H32">
        <f t="shared" si="1"/>
        <v>197</v>
      </c>
      <c r="I32" t="str">
        <f t="shared" si="2"/>
        <v>Average </v>
      </c>
      <c r="J32" t="str">
        <f t="shared" si="3"/>
        <v>High</v>
      </c>
      <c r="L32" s="9">
        <v>0.52</v>
      </c>
      <c r="M32">
        <f t="shared" si="4"/>
        <v>9</v>
      </c>
      <c r="N32">
        <v>4.3</v>
      </c>
    </row>
    <row r="33" spans="1:14">
      <c r="A33" t="s">
        <v>105</v>
      </c>
      <c r="B33" s="8">
        <v>980</v>
      </c>
      <c r="C33" s="8">
        <v>1490</v>
      </c>
      <c r="D33" s="9">
        <v>0.34</v>
      </c>
      <c r="E33">
        <v>-12</v>
      </c>
      <c r="F33">
        <v>4.7</v>
      </c>
      <c r="G33">
        <f t="shared" si="0"/>
        <v>12</v>
      </c>
      <c r="H33">
        <f t="shared" si="1"/>
        <v>510</v>
      </c>
      <c r="I33" t="str">
        <f t="shared" si="2"/>
        <v>Excellent</v>
      </c>
      <c r="J33" t="str">
        <f t="shared" si="3"/>
        <v>Medium</v>
      </c>
      <c r="L33" s="9">
        <v>0.34</v>
      </c>
      <c r="M33">
        <f t="shared" si="4"/>
        <v>12</v>
      </c>
      <c r="N33">
        <v>4.7</v>
      </c>
    </row>
    <row r="34" spans="1:14">
      <c r="A34" t="s">
        <v>108</v>
      </c>
      <c r="B34" s="8">
        <v>1820</v>
      </c>
      <c r="C34" s="8">
        <v>3490</v>
      </c>
      <c r="D34" s="9">
        <v>0.48</v>
      </c>
      <c r="E34">
        <v>-9</v>
      </c>
      <c r="F34">
        <v>4.3</v>
      </c>
      <c r="G34">
        <f t="shared" si="0"/>
        <v>9</v>
      </c>
      <c r="H34">
        <f t="shared" si="1"/>
        <v>1670</v>
      </c>
      <c r="I34" t="str">
        <f t="shared" si="2"/>
        <v>Average </v>
      </c>
      <c r="J34" t="str">
        <f t="shared" si="3"/>
        <v>High</v>
      </c>
      <c r="L34" s="9">
        <v>0.48</v>
      </c>
      <c r="M34">
        <f t="shared" si="4"/>
        <v>9</v>
      </c>
      <c r="N34">
        <v>4.3</v>
      </c>
    </row>
    <row r="35" spans="1:14">
      <c r="A35" t="s">
        <v>111</v>
      </c>
      <c r="B35" s="8">
        <v>1940</v>
      </c>
      <c r="C35" s="8">
        <v>2650</v>
      </c>
      <c r="D35" s="9">
        <v>0.27</v>
      </c>
      <c r="E35">
        <v>-20</v>
      </c>
      <c r="F35">
        <v>4.7</v>
      </c>
      <c r="G35">
        <f t="shared" ref="G35:G66" si="5">ABS(E35)</f>
        <v>20</v>
      </c>
      <c r="H35">
        <f t="shared" ref="H35:H66" si="6">C35-B35</f>
        <v>710</v>
      </c>
      <c r="I35" t="str">
        <f t="shared" ref="I35:I66" si="7">IF(F35&lt;3,"Poor",IF(F35&lt;=4.4,"Average ","Excellent"))</f>
        <v>Excellent</v>
      </c>
      <c r="J35" t="str">
        <f t="shared" ref="J35:J66" si="8">IF(D35&lt;20%,"Low",IF(D35&lt;=40%,"Medium","High"))</f>
        <v>Medium</v>
      </c>
      <c r="L35" s="9">
        <v>0.27</v>
      </c>
      <c r="M35">
        <f t="shared" ref="M35:M66" si="9">G35</f>
        <v>20</v>
      </c>
      <c r="N35">
        <v>4.7</v>
      </c>
    </row>
    <row r="36" spans="1:14">
      <c r="A36" t="s">
        <v>114</v>
      </c>
      <c r="B36" s="8">
        <v>1980</v>
      </c>
      <c r="C36" s="8">
        <v>2699</v>
      </c>
      <c r="D36" s="9">
        <v>0.27</v>
      </c>
      <c r="E36">
        <v>-32</v>
      </c>
      <c r="F36">
        <v>4.5</v>
      </c>
      <c r="G36">
        <f t="shared" si="5"/>
        <v>32</v>
      </c>
      <c r="H36">
        <f t="shared" si="6"/>
        <v>719</v>
      </c>
      <c r="I36" t="str">
        <f t="shared" si="7"/>
        <v>Excellent</v>
      </c>
      <c r="J36" t="str">
        <f t="shared" si="8"/>
        <v>Medium</v>
      </c>
      <c r="L36" s="9">
        <v>0.27</v>
      </c>
      <c r="M36">
        <f t="shared" si="9"/>
        <v>32</v>
      </c>
      <c r="N36">
        <v>4.5</v>
      </c>
    </row>
    <row r="37" spans="1:14">
      <c r="A37" t="s">
        <v>117</v>
      </c>
      <c r="B37" s="8">
        <v>1620</v>
      </c>
      <c r="C37" s="8">
        <v>2690</v>
      </c>
      <c r="D37" s="9">
        <v>0.4</v>
      </c>
      <c r="E37">
        <v>-1</v>
      </c>
      <c r="F37">
        <v>5</v>
      </c>
      <c r="G37">
        <f t="shared" si="5"/>
        <v>1</v>
      </c>
      <c r="H37">
        <f t="shared" si="6"/>
        <v>1070</v>
      </c>
      <c r="I37" t="str">
        <f t="shared" si="7"/>
        <v>Excellent</v>
      </c>
      <c r="J37" t="str">
        <f t="shared" si="8"/>
        <v>Medium</v>
      </c>
      <c r="L37" s="9">
        <v>0.4</v>
      </c>
      <c r="M37">
        <f t="shared" si="9"/>
        <v>1</v>
      </c>
      <c r="N37">
        <v>5</v>
      </c>
    </row>
    <row r="38" spans="1:14">
      <c r="A38" t="s">
        <v>120</v>
      </c>
      <c r="B38" s="8">
        <v>171</v>
      </c>
      <c r="C38" s="8">
        <v>360</v>
      </c>
      <c r="D38" s="9">
        <v>0.53</v>
      </c>
      <c r="E38">
        <v>-2</v>
      </c>
      <c r="F38">
        <v>5</v>
      </c>
      <c r="G38">
        <f t="shared" si="5"/>
        <v>2</v>
      </c>
      <c r="H38">
        <f t="shared" si="6"/>
        <v>189</v>
      </c>
      <c r="I38" t="str">
        <f t="shared" si="7"/>
        <v>Excellent</v>
      </c>
      <c r="J38" t="str">
        <f t="shared" si="8"/>
        <v>High</v>
      </c>
      <c r="L38" s="9">
        <v>0.53</v>
      </c>
      <c r="M38">
        <f t="shared" si="9"/>
        <v>2</v>
      </c>
      <c r="N38">
        <v>5</v>
      </c>
    </row>
    <row r="39" spans="1:14">
      <c r="A39" t="s">
        <v>122</v>
      </c>
      <c r="B39" s="8">
        <v>389</v>
      </c>
      <c r="C39" s="8">
        <v>656</v>
      </c>
      <c r="D39" s="9">
        <v>0.41</v>
      </c>
      <c r="E39">
        <v>-36</v>
      </c>
      <c r="F39">
        <v>4.3</v>
      </c>
      <c r="G39">
        <f t="shared" si="5"/>
        <v>36</v>
      </c>
      <c r="H39">
        <f t="shared" si="6"/>
        <v>267</v>
      </c>
      <c r="I39" t="str">
        <f t="shared" si="7"/>
        <v>Average </v>
      </c>
      <c r="J39" t="str">
        <f t="shared" si="8"/>
        <v>High</v>
      </c>
      <c r="L39" s="9">
        <v>0.41</v>
      </c>
      <c r="M39">
        <f t="shared" si="9"/>
        <v>36</v>
      </c>
      <c r="N39">
        <v>4.3</v>
      </c>
    </row>
    <row r="40" spans="1:14">
      <c r="A40" t="s">
        <v>125</v>
      </c>
      <c r="B40" s="8">
        <f>AVERAGE(1620,1980)</f>
        <v>1800</v>
      </c>
      <c r="C40" s="8">
        <f>AVERAGE(2200,3200)</f>
        <v>2700</v>
      </c>
      <c r="D40" s="9">
        <v>0.38</v>
      </c>
      <c r="E40">
        <v>-2</v>
      </c>
      <c r="F40">
        <v>4.5</v>
      </c>
      <c r="G40">
        <f t="shared" si="5"/>
        <v>2</v>
      </c>
      <c r="H40">
        <f t="shared" si="6"/>
        <v>900</v>
      </c>
      <c r="I40" t="str">
        <f t="shared" si="7"/>
        <v>Excellent</v>
      </c>
      <c r="J40" t="str">
        <f t="shared" si="8"/>
        <v>Medium</v>
      </c>
      <c r="L40" s="9">
        <v>0.38</v>
      </c>
      <c r="M40">
        <f t="shared" si="9"/>
        <v>2</v>
      </c>
      <c r="N40">
        <v>4.5</v>
      </c>
    </row>
    <row r="41" spans="1:14">
      <c r="A41" t="s">
        <v>128</v>
      </c>
      <c r="B41" s="8">
        <v>2750</v>
      </c>
      <c r="C41" s="8">
        <v>4471</v>
      </c>
      <c r="D41" s="9">
        <v>0.38</v>
      </c>
      <c r="E41">
        <v>0</v>
      </c>
      <c r="F41">
        <v>0</v>
      </c>
      <c r="G41">
        <f t="shared" si="5"/>
        <v>0</v>
      </c>
      <c r="H41">
        <f t="shared" si="6"/>
        <v>1721</v>
      </c>
      <c r="I41" t="str">
        <f t="shared" si="7"/>
        <v>Poor</v>
      </c>
      <c r="J41" t="str">
        <f t="shared" si="8"/>
        <v>Medium</v>
      </c>
      <c r="L41" s="9">
        <v>0.38</v>
      </c>
      <c r="M41">
        <f t="shared" si="9"/>
        <v>0</v>
      </c>
      <c r="N41">
        <v>0</v>
      </c>
    </row>
    <row r="42" spans="1:14">
      <c r="A42" t="s">
        <v>131</v>
      </c>
      <c r="B42" s="8">
        <v>475</v>
      </c>
      <c r="C42" s="8">
        <v>931</v>
      </c>
      <c r="D42" s="9">
        <v>0.49</v>
      </c>
      <c r="E42">
        <v>0</v>
      </c>
      <c r="F42">
        <v>0</v>
      </c>
      <c r="G42">
        <f t="shared" si="5"/>
        <v>0</v>
      </c>
      <c r="H42">
        <f t="shared" si="6"/>
        <v>456</v>
      </c>
      <c r="I42" t="str">
        <f t="shared" si="7"/>
        <v>Poor</v>
      </c>
      <c r="J42" t="str">
        <f t="shared" si="8"/>
        <v>High</v>
      </c>
      <c r="L42" s="9">
        <v>0.49</v>
      </c>
      <c r="M42">
        <f t="shared" si="9"/>
        <v>0</v>
      </c>
      <c r="N42">
        <v>0</v>
      </c>
    </row>
    <row r="43" spans="1:14">
      <c r="A43" t="s">
        <v>134</v>
      </c>
      <c r="B43" s="8">
        <v>238</v>
      </c>
      <c r="C43" s="8">
        <v>476</v>
      </c>
      <c r="D43" s="9">
        <v>0.5</v>
      </c>
      <c r="E43">
        <v>0</v>
      </c>
      <c r="F43">
        <v>0</v>
      </c>
      <c r="G43">
        <f t="shared" si="5"/>
        <v>0</v>
      </c>
      <c r="H43">
        <f t="shared" si="6"/>
        <v>238</v>
      </c>
      <c r="I43" t="str">
        <f t="shared" si="7"/>
        <v>Poor</v>
      </c>
      <c r="J43" t="str">
        <f t="shared" si="8"/>
        <v>High</v>
      </c>
      <c r="L43" s="9">
        <v>0.5</v>
      </c>
      <c r="M43">
        <f t="shared" si="9"/>
        <v>0</v>
      </c>
      <c r="N43">
        <v>0</v>
      </c>
    </row>
    <row r="44" spans="1:14">
      <c r="A44" t="s">
        <v>137</v>
      </c>
      <c r="B44" s="8">
        <v>610</v>
      </c>
      <c r="C44" s="8">
        <v>1060</v>
      </c>
      <c r="D44" s="9">
        <v>0.42</v>
      </c>
      <c r="E44">
        <v>0</v>
      </c>
      <c r="F44">
        <v>0</v>
      </c>
      <c r="G44">
        <f t="shared" si="5"/>
        <v>0</v>
      </c>
      <c r="H44">
        <f t="shared" si="6"/>
        <v>450</v>
      </c>
      <c r="I44" t="str">
        <f t="shared" si="7"/>
        <v>Poor</v>
      </c>
      <c r="J44" t="str">
        <f t="shared" si="8"/>
        <v>High</v>
      </c>
      <c r="L44" s="9">
        <v>0.42</v>
      </c>
      <c r="M44">
        <f t="shared" si="9"/>
        <v>0</v>
      </c>
      <c r="N44">
        <v>0</v>
      </c>
    </row>
    <row r="45" spans="1:14">
      <c r="A45" t="s">
        <v>140</v>
      </c>
      <c r="B45" s="8">
        <v>2132</v>
      </c>
      <c r="C45" s="8">
        <v>2169</v>
      </c>
      <c r="D45" s="9">
        <v>0.02</v>
      </c>
      <c r="E45">
        <v>0</v>
      </c>
      <c r="F45">
        <v>0</v>
      </c>
      <c r="G45">
        <f t="shared" si="5"/>
        <v>0</v>
      </c>
      <c r="H45">
        <f t="shared" si="6"/>
        <v>37</v>
      </c>
      <c r="I45" t="str">
        <f t="shared" si="7"/>
        <v>Poor</v>
      </c>
      <c r="J45" t="str">
        <f t="shared" si="8"/>
        <v>Low</v>
      </c>
      <c r="L45" s="9">
        <v>0.02</v>
      </c>
      <c r="M45">
        <f t="shared" si="9"/>
        <v>0</v>
      </c>
      <c r="N45">
        <v>0</v>
      </c>
    </row>
    <row r="46" spans="1:14">
      <c r="A46" t="s">
        <v>143</v>
      </c>
      <c r="B46" s="8">
        <v>999</v>
      </c>
      <c r="C46" s="8">
        <v>2000</v>
      </c>
      <c r="D46" s="9">
        <v>0.5</v>
      </c>
      <c r="E46">
        <v>0</v>
      </c>
      <c r="F46">
        <v>0</v>
      </c>
      <c r="G46">
        <f t="shared" si="5"/>
        <v>0</v>
      </c>
      <c r="H46">
        <f t="shared" si="6"/>
        <v>1001</v>
      </c>
      <c r="I46" t="str">
        <f t="shared" si="7"/>
        <v>Poor</v>
      </c>
      <c r="J46" t="str">
        <f t="shared" si="8"/>
        <v>High</v>
      </c>
      <c r="L46" s="9">
        <v>0.5</v>
      </c>
      <c r="M46">
        <f t="shared" si="9"/>
        <v>0</v>
      </c>
      <c r="N46">
        <v>0</v>
      </c>
    </row>
    <row r="47" spans="1:14">
      <c r="A47" t="s">
        <v>145</v>
      </c>
      <c r="B47" s="8">
        <v>1190</v>
      </c>
      <c r="C47" s="8">
        <v>1785</v>
      </c>
      <c r="D47" s="9">
        <v>0.33</v>
      </c>
      <c r="E47">
        <v>0</v>
      </c>
      <c r="F47">
        <v>0</v>
      </c>
      <c r="G47">
        <f t="shared" si="5"/>
        <v>0</v>
      </c>
      <c r="H47">
        <f t="shared" si="6"/>
        <v>595</v>
      </c>
      <c r="I47" t="str">
        <f t="shared" si="7"/>
        <v>Poor</v>
      </c>
      <c r="J47" t="str">
        <f t="shared" si="8"/>
        <v>Medium</v>
      </c>
      <c r="L47" s="9">
        <v>0.33</v>
      </c>
      <c r="M47">
        <f t="shared" si="9"/>
        <v>0</v>
      </c>
      <c r="N47">
        <v>0</v>
      </c>
    </row>
    <row r="48" spans="1:14">
      <c r="A48" t="s">
        <v>148</v>
      </c>
      <c r="B48" s="8">
        <v>671</v>
      </c>
      <c r="C48" s="8">
        <v>1316</v>
      </c>
      <c r="D48" s="9">
        <v>0.49</v>
      </c>
      <c r="E48">
        <v>0</v>
      </c>
      <c r="F48">
        <v>0</v>
      </c>
      <c r="G48">
        <f t="shared" si="5"/>
        <v>0</v>
      </c>
      <c r="H48">
        <f t="shared" si="6"/>
        <v>645</v>
      </c>
      <c r="I48" t="str">
        <f t="shared" si="7"/>
        <v>Poor</v>
      </c>
      <c r="J48" t="str">
        <f t="shared" si="8"/>
        <v>High</v>
      </c>
      <c r="L48" s="9">
        <v>0.49</v>
      </c>
      <c r="M48">
        <f t="shared" si="9"/>
        <v>0</v>
      </c>
      <c r="N48">
        <v>0</v>
      </c>
    </row>
    <row r="49" spans="1:14">
      <c r="A49" t="s">
        <v>151</v>
      </c>
      <c r="B49" s="8">
        <v>1200</v>
      </c>
      <c r="C49" s="8">
        <v>1950</v>
      </c>
      <c r="D49" s="9">
        <v>0.38</v>
      </c>
      <c r="E49">
        <v>0</v>
      </c>
      <c r="F49">
        <v>0</v>
      </c>
      <c r="G49">
        <f t="shared" si="5"/>
        <v>0</v>
      </c>
      <c r="H49">
        <f t="shared" si="6"/>
        <v>750</v>
      </c>
      <c r="I49" t="str">
        <f t="shared" si="7"/>
        <v>Poor</v>
      </c>
      <c r="J49" t="str">
        <f t="shared" si="8"/>
        <v>Medium</v>
      </c>
      <c r="L49" s="9">
        <v>0.38</v>
      </c>
      <c r="M49">
        <f t="shared" si="9"/>
        <v>0</v>
      </c>
      <c r="N49">
        <v>0</v>
      </c>
    </row>
    <row r="50" spans="1:14">
      <c r="A50" t="s">
        <v>154</v>
      </c>
      <c r="B50" s="8">
        <v>199</v>
      </c>
      <c r="C50" s="8">
        <v>504</v>
      </c>
      <c r="D50" s="9">
        <v>0.61</v>
      </c>
      <c r="E50">
        <v>0</v>
      </c>
      <c r="F50">
        <v>0</v>
      </c>
      <c r="G50">
        <f t="shared" si="5"/>
        <v>0</v>
      </c>
      <c r="H50">
        <f t="shared" si="6"/>
        <v>305</v>
      </c>
      <c r="I50" t="str">
        <f t="shared" si="7"/>
        <v>Poor</v>
      </c>
      <c r="J50" t="str">
        <f t="shared" si="8"/>
        <v>High</v>
      </c>
      <c r="L50" s="9">
        <v>0.61</v>
      </c>
      <c r="M50">
        <f t="shared" si="9"/>
        <v>0</v>
      </c>
      <c r="N50">
        <v>0</v>
      </c>
    </row>
    <row r="51" spans="1:14">
      <c r="A51" t="s">
        <v>157</v>
      </c>
      <c r="B51" s="8">
        <v>299</v>
      </c>
      <c r="C51" s="8">
        <v>600</v>
      </c>
      <c r="D51" s="9">
        <v>0.5</v>
      </c>
      <c r="E51">
        <v>0</v>
      </c>
      <c r="F51">
        <v>0</v>
      </c>
      <c r="G51">
        <f t="shared" si="5"/>
        <v>0</v>
      </c>
      <c r="H51">
        <f t="shared" si="6"/>
        <v>301</v>
      </c>
      <c r="I51" t="str">
        <f t="shared" si="7"/>
        <v>Poor</v>
      </c>
      <c r="J51" t="str">
        <f t="shared" si="8"/>
        <v>High</v>
      </c>
      <c r="L51" s="9">
        <v>0.5</v>
      </c>
      <c r="M51">
        <f t="shared" si="9"/>
        <v>0</v>
      </c>
      <c r="N51">
        <v>0</v>
      </c>
    </row>
    <row r="52" spans="1:14">
      <c r="A52" t="s">
        <v>160</v>
      </c>
      <c r="B52" s="8">
        <v>1660</v>
      </c>
      <c r="C52" s="8">
        <v>1699</v>
      </c>
      <c r="D52" s="9">
        <v>0.02</v>
      </c>
      <c r="E52">
        <v>0</v>
      </c>
      <c r="F52">
        <v>0</v>
      </c>
      <c r="G52">
        <f t="shared" si="5"/>
        <v>0</v>
      </c>
      <c r="H52">
        <f t="shared" si="6"/>
        <v>39</v>
      </c>
      <c r="I52" t="str">
        <f t="shared" si="7"/>
        <v>Poor</v>
      </c>
      <c r="J52" t="str">
        <f t="shared" si="8"/>
        <v>Low</v>
      </c>
      <c r="L52" s="9">
        <v>0.02</v>
      </c>
      <c r="M52">
        <f t="shared" si="9"/>
        <v>0</v>
      </c>
      <c r="N52">
        <v>0</v>
      </c>
    </row>
    <row r="53" spans="1:14">
      <c r="A53" t="s">
        <v>163</v>
      </c>
      <c r="B53" s="8">
        <v>299</v>
      </c>
      <c r="C53" s="8">
        <v>384</v>
      </c>
      <c r="D53" s="9">
        <v>0.22</v>
      </c>
      <c r="E53">
        <v>0</v>
      </c>
      <c r="F53">
        <v>0</v>
      </c>
      <c r="G53">
        <f t="shared" si="5"/>
        <v>0</v>
      </c>
      <c r="H53">
        <f t="shared" si="6"/>
        <v>85</v>
      </c>
      <c r="I53" t="str">
        <f t="shared" si="7"/>
        <v>Poor</v>
      </c>
      <c r="J53" t="str">
        <f t="shared" si="8"/>
        <v>Medium</v>
      </c>
      <c r="L53" s="9">
        <v>0.22</v>
      </c>
      <c r="M53">
        <f t="shared" si="9"/>
        <v>0</v>
      </c>
      <c r="N53">
        <v>0</v>
      </c>
    </row>
    <row r="54" spans="1:14">
      <c r="A54" t="s">
        <v>165</v>
      </c>
      <c r="B54" s="8">
        <v>1459</v>
      </c>
      <c r="C54" s="8">
        <v>1499</v>
      </c>
      <c r="D54" s="9">
        <v>0.03</v>
      </c>
      <c r="E54">
        <v>0</v>
      </c>
      <c r="F54">
        <v>0</v>
      </c>
      <c r="G54">
        <f t="shared" si="5"/>
        <v>0</v>
      </c>
      <c r="H54">
        <f t="shared" si="6"/>
        <v>40</v>
      </c>
      <c r="I54" t="str">
        <f t="shared" si="7"/>
        <v>Poor</v>
      </c>
      <c r="J54" t="str">
        <f t="shared" si="8"/>
        <v>Low</v>
      </c>
      <c r="L54" s="9">
        <v>0.03</v>
      </c>
      <c r="M54">
        <f t="shared" si="9"/>
        <v>0</v>
      </c>
      <c r="N54">
        <v>0</v>
      </c>
    </row>
    <row r="55" spans="1:14">
      <c r="A55" t="s">
        <v>168</v>
      </c>
      <c r="B55" s="8">
        <v>799</v>
      </c>
      <c r="C55" s="8">
        <v>1343</v>
      </c>
      <c r="D55" s="9">
        <v>0.41</v>
      </c>
      <c r="E55">
        <v>0</v>
      </c>
      <c r="F55">
        <v>0</v>
      </c>
      <c r="G55">
        <f t="shared" si="5"/>
        <v>0</v>
      </c>
      <c r="H55">
        <f t="shared" si="6"/>
        <v>544</v>
      </c>
      <c r="I55" t="str">
        <f t="shared" si="7"/>
        <v>Poor</v>
      </c>
      <c r="J55" t="str">
        <f t="shared" si="8"/>
        <v>High</v>
      </c>
      <c r="L55" s="9">
        <v>0.41</v>
      </c>
      <c r="M55">
        <f t="shared" si="9"/>
        <v>0</v>
      </c>
      <c r="N55">
        <v>0</v>
      </c>
    </row>
    <row r="56" spans="1:14">
      <c r="A56" t="s">
        <v>170</v>
      </c>
      <c r="B56" s="8">
        <v>499</v>
      </c>
      <c r="C56" s="8">
        <v>900</v>
      </c>
      <c r="D56" s="9">
        <v>0.45</v>
      </c>
      <c r="E56">
        <v>0</v>
      </c>
      <c r="F56">
        <v>0</v>
      </c>
      <c r="G56">
        <f t="shared" si="5"/>
        <v>0</v>
      </c>
      <c r="H56">
        <f t="shared" si="6"/>
        <v>401</v>
      </c>
      <c r="I56" t="str">
        <f t="shared" si="7"/>
        <v>Poor</v>
      </c>
      <c r="J56" t="str">
        <f t="shared" si="8"/>
        <v>High</v>
      </c>
      <c r="L56" s="9">
        <v>0.45</v>
      </c>
      <c r="M56">
        <f t="shared" si="9"/>
        <v>0</v>
      </c>
      <c r="N56">
        <v>0</v>
      </c>
    </row>
    <row r="57" spans="1:14">
      <c r="A57" t="s">
        <v>173</v>
      </c>
      <c r="B57" s="8">
        <v>699</v>
      </c>
      <c r="C57" s="8">
        <v>1343</v>
      </c>
      <c r="D57" s="9">
        <v>0.48</v>
      </c>
      <c r="E57">
        <v>0</v>
      </c>
      <c r="F57">
        <v>0</v>
      </c>
      <c r="G57">
        <f t="shared" si="5"/>
        <v>0</v>
      </c>
      <c r="H57">
        <f t="shared" si="6"/>
        <v>644</v>
      </c>
      <c r="I57" t="str">
        <f t="shared" si="7"/>
        <v>Poor</v>
      </c>
      <c r="J57" t="str">
        <f t="shared" si="8"/>
        <v>High</v>
      </c>
      <c r="L57" s="9">
        <v>0.48</v>
      </c>
      <c r="M57">
        <f t="shared" si="9"/>
        <v>0</v>
      </c>
      <c r="N57">
        <v>0</v>
      </c>
    </row>
    <row r="58" spans="1:14">
      <c r="A58" t="s">
        <v>175</v>
      </c>
      <c r="B58" s="8">
        <v>799</v>
      </c>
      <c r="C58" s="8">
        <v>1567</v>
      </c>
      <c r="D58" s="9">
        <v>0.49</v>
      </c>
      <c r="E58">
        <v>0</v>
      </c>
      <c r="F58">
        <v>0</v>
      </c>
      <c r="G58">
        <f t="shared" si="5"/>
        <v>0</v>
      </c>
      <c r="H58">
        <f t="shared" si="6"/>
        <v>768</v>
      </c>
      <c r="I58" t="str">
        <f t="shared" si="7"/>
        <v>Poor</v>
      </c>
      <c r="J58" t="str">
        <f t="shared" si="8"/>
        <v>High</v>
      </c>
      <c r="L58" s="9">
        <v>0.49</v>
      </c>
      <c r="M58">
        <f t="shared" si="9"/>
        <v>0</v>
      </c>
      <c r="N58">
        <v>0</v>
      </c>
    </row>
    <row r="59" spans="1:14">
      <c r="A59" t="s">
        <v>177</v>
      </c>
      <c r="B59" s="8">
        <v>2799</v>
      </c>
      <c r="C59" s="8">
        <v>3810</v>
      </c>
      <c r="D59" s="9">
        <v>0.27</v>
      </c>
      <c r="E59">
        <v>0</v>
      </c>
      <c r="F59">
        <v>0</v>
      </c>
      <c r="G59">
        <f t="shared" si="5"/>
        <v>0</v>
      </c>
      <c r="H59">
        <f t="shared" si="6"/>
        <v>1011</v>
      </c>
      <c r="I59" t="str">
        <f t="shared" si="7"/>
        <v>Poor</v>
      </c>
      <c r="J59" t="str">
        <f t="shared" si="8"/>
        <v>Medium</v>
      </c>
      <c r="L59" s="9">
        <v>0.27</v>
      </c>
      <c r="M59">
        <f t="shared" si="9"/>
        <v>0</v>
      </c>
      <c r="N59">
        <v>0</v>
      </c>
    </row>
    <row r="60" spans="1:14">
      <c r="A60" t="s">
        <v>170</v>
      </c>
      <c r="B60" s="8">
        <v>399</v>
      </c>
      <c r="C60" s="8">
        <v>896</v>
      </c>
      <c r="D60" s="9">
        <v>0.55</v>
      </c>
      <c r="E60">
        <v>0</v>
      </c>
      <c r="F60">
        <v>0</v>
      </c>
      <c r="G60">
        <f t="shared" si="5"/>
        <v>0</v>
      </c>
      <c r="H60">
        <f t="shared" si="6"/>
        <v>497</v>
      </c>
      <c r="I60" t="str">
        <f t="shared" si="7"/>
        <v>Poor</v>
      </c>
      <c r="J60" t="str">
        <f t="shared" si="8"/>
        <v>High</v>
      </c>
      <c r="L60" s="9">
        <v>0.55</v>
      </c>
      <c r="M60">
        <f t="shared" si="9"/>
        <v>0</v>
      </c>
      <c r="N60">
        <v>0</v>
      </c>
    </row>
    <row r="61" spans="1:14">
      <c r="A61" t="s">
        <v>182</v>
      </c>
      <c r="B61" s="8">
        <v>2170</v>
      </c>
      <c r="C61" s="8">
        <v>2500</v>
      </c>
      <c r="D61" s="9">
        <v>0.13</v>
      </c>
      <c r="E61">
        <v>-6</v>
      </c>
      <c r="F61">
        <v>2.5</v>
      </c>
      <c r="G61">
        <f t="shared" si="5"/>
        <v>6</v>
      </c>
      <c r="H61">
        <f t="shared" si="6"/>
        <v>330</v>
      </c>
      <c r="I61" t="str">
        <f t="shared" si="7"/>
        <v>Poor</v>
      </c>
      <c r="J61" t="str">
        <f t="shared" si="8"/>
        <v>Low</v>
      </c>
      <c r="L61" s="9">
        <v>0.13</v>
      </c>
      <c r="M61">
        <f t="shared" si="9"/>
        <v>6</v>
      </c>
      <c r="N61">
        <v>2.5</v>
      </c>
    </row>
    <row r="62" spans="1:14">
      <c r="A62" t="s">
        <v>186</v>
      </c>
      <c r="B62" s="8">
        <v>458</v>
      </c>
      <c r="C62" s="8">
        <v>986</v>
      </c>
      <c r="D62" s="9">
        <v>0.54</v>
      </c>
      <c r="E62">
        <v>-10</v>
      </c>
      <c r="F62">
        <v>3</v>
      </c>
      <c r="G62">
        <f t="shared" si="5"/>
        <v>10</v>
      </c>
      <c r="H62">
        <f t="shared" si="6"/>
        <v>528</v>
      </c>
      <c r="I62" t="str">
        <f t="shared" si="7"/>
        <v>Average </v>
      </c>
      <c r="J62" t="str">
        <f t="shared" si="8"/>
        <v>High</v>
      </c>
      <c r="L62" s="9">
        <v>0.54</v>
      </c>
      <c r="M62">
        <f t="shared" si="9"/>
        <v>10</v>
      </c>
      <c r="N62">
        <v>3</v>
      </c>
    </row>
    <row r="63" spans="1:14">
      <c r="A63" t="s">
        <v>190</v>
      </c>
      <c r="B63" s="8">
        <v>2115</v>
      </c>
      <c r="C63" s="8">
        <v>4700</v>
      </c>
      <c r="D63" s="9">
        <v>0.55</v>
      </c>
      <c r="E63">
        <v>-13</v>
      </c>
      <c r="F63">
        <v>2.1</v>
      </c>
      <c r="G63">
        <f t="shared" si="5"/>
        <v>13</v>
      </c>
      <c r="H63">
        <f t="shared" si="6"/>
        <v>2585</v>
      </c>
      <c r="I63" t="str">
        <f t="shared" si="7"/>
        <v>Poor</v>
      </c>
      <c r="J63" t="str">
        <f t="shared" si="8"/>
        <v>High</v>
      </c>
      <c r="L63" s="9">
        <v>0.55</v>
      </c>
      <c r="M63">
        <f t="shared" si="9"/>
        <v>13</v>
      </c>
      <c r="N63">
        <v>2.1</v>
      </c>
    </row>
    <row r="64" spans="1:14">
      <c r="A64" t="s">
        <v>194</v>
      </c>
      <c r="B64" s="8">
        <v>445</v>
      </c>
      <c r="C64" s="8">
        <v>873</v>
      </c>
      <c r="D64" s="9">
        <v>0.49</v>
      </c>
      <c r="E64">
        <v>-69</v>
      </c>
      <c r="F64">
        <v>2.8</v>
      </c>
      <c r="G64">
        <f t="shared" si="5"/>
        <v>69</v>
      </c>
      <c r="H64">
        <f t="shared" si="6"/>
        <v>428</v>
      </c>
      <c r="I64" t="str">
        <f t="shared" si="7"/>
        <v>Poor</v>
      </c>
      <c r="J64" t="str">
        <f t="shared" si="8"/>
        <v>High</v>
      </c>
      <c r="L64" s="9">
        <v>0.49</v>
      </c>
      <c r="M64">
        <f t="shared" si="9"/>
        <v>69</v>
      </c>
      <c r="N64">
        <v>2.8</v>
      </c>
    </row>
    <row r="65" spans="1:14">
      <c r="A65" t="s">
        <v>198</v>
      </c>
      <c r="B65" s="8">
        <v>325</v>
      </c>
      <c r="C65" s="8">
        <v>680</v>
      </c>
      <c r="D65" s="9">
        <v>0.52</v>
      </c>
      <c r="E65">
        <v>-15</v>
      </c>
      <c r="F65">
        <v>2.7</v>
      </c>
      <c r="G65">
        <f t="shared" si="5"/>
        <v>15</v>
      </c>
      <c r="H65">
        <f t="shared" si="6"/>
        <v>355</v>
      </c>
      <c r="I65" t="str">
        <f t="shared" si="7"/>
        <v>Poor</v>
      </c>
      <c r="J65" t="str">
        <f t="shared" si="8"/>
        <v>High</v>
      </c>
      <c r="L65" s="9">
        <v>0.52</v>
      </c>
      <c r="M65">
        <f t="shared" si="9"/>
        <v>15</v>
      </c>
      <c r="N65">
        <v>2.7</v>
      </c>
    </row>
    <row r="66" spans="1:14">
      <c r="A66" t="s">
        <v>202</v>
      </c>
      <c r="B66" s="8">
        <v>1220</v>
      </c>
      <c r="C66" s="8">
        <v>1555</v>
      </c>
      <c r="D66" s="9">
        <v>0.22</v>
      </c>
      <c r="E66">
        <v>-16</v>
      </c>
      <c r="F66">
        <v>2.9</v>
      </c>
      <c r="G66">
        <f t="shared" si="5"/>
        <v>16</v>
      </c>
      <c r="H66">
        <f t="shared" si="6"/>
        <v>335</v>
      </c>
      <c r="I66" t="str">
        <f t="shared" si="7"/>
        <v>Poor</v>
      </c>
      <c r="J66" t="str">
        <f t="shared" si="8"/>
        <v>Medium</v>
      </c>
      <c r="L66" s="9">
        <v>0.22</v>
      </c>
      <c r="M66">
        <f t="shared" si="9"/>
        <v>16</v>
      </c>
      <c r="N66">
        <v>2.9</v>
      </c>
    </row>
    <row r="67" spans="1:14">
      <c r="A67" t="s">
        <v>206</v>
      </c>
      <c r="B67" s="8">
        <v>990</v>
      </c>
      <c r="C67" s="8">
        <v>1814</v>
      </c>
      <c r="D67" s="9">
        <v>0.45</v>
      </c>
      <c r="E67">
        <v>-6</v>
      </c>
      <c r="F67">
        <v>2.2</v>
      </c>
      <c r="G67">
        <f t="shared" ref="G67:G113" si="10">ABS(E67)</f>
        <v>6</v>
      </c>
      <c r="H67">
        <f t="shared" ref="H67:H113" si="11">C67-B67</f>
        <v>824</v>
      </c>
      <c r="I67" t="str">
        <f t="shared" ref="I67:I113" si="12">IF(F67&lt;3,"Poor",IF(F67&lt;=4.4,"Average ","Excellent"))</f>
        <v>Poor</v>
      </c>
      <c r="J67" t="str">
        <f t="shared" ref="J67:J113" si="13">IF(D67&lt;20%,"Low",IF(D67&lt;=40%,"Medium","High"))</f>
        <v>High</v>
      </c>
      <c r="L67" s="9">
        <v>0.45</v>
      </c>
      <c r="M67">
        <f t="shared" ref="M67:M98" si="14">G67</f>
        <v>6</v>
      </c>
      <c r="N67">
        <v>2.2</v>
      </c>
    </row>
    <row r="68" spans="1:14">
      <c r="A68" t="s">
        <v>209</v>
      </c>
      <c r="B68" s="8">
        <v>1000</v>
      </c>
      <c r="C68" s="8">
        <v>2000</v>
      </c>
      <c r="D68" s="9">
        <v>0.5</v>
      </c>
      <c r="E68">
        <v>-7</v>
      </c>
      <c r="F68">
        <v>2.3</v>
      </c>
      <c r="G68">
        <f t="shared" si="10"/>
        <v>7</v>
      </c>
      <c r="H68">
        <f t="shared" si="11"/>
        <v>1000</v>
      </c>
      <c r="I68" t="str">
        <f t="shared" si="12"/>
        <v>Poor</v>
      </c>
      <c r="J68" t="str">
        <f t="shared" si="13"/>
        <v>High</v>
      </c>
      <c r="L68" s="9">
        <v>0.5</v>
      </c>
      <c r="M68">
        <f t="shared" si="14"/>
        <v>7</v>
      </c>
      <c r="N68">
        <v>2.3</v>
      </c>
    </row>
    <row r="69" spans="1:14">
      <c r="A69" t="s">
        <v>212</v>
      </c>
      <c r="B69" s="8">
        <v>3750</v>
      </c>
      <c r="C69" s="8">
        <v>6143</v>
      </c>
      <c r="D69" s="9">
        <v>0.39</v>
      </c>
      <c r="E69">
        <v>-5</v>
      </c>
      <c r="F69">
        <v>3</v>
      </c>
      <c r="G69">
        <f t="shared" si="10"/>
        <v>5</v>
      </c>
      <c r="H69">
        <f t="shared" si="11"/>
        <v>2393</v>
      </c>
      <c r="I69" t="str">
        <f t="shared" si="12"/>
        <v>Average </v>
      </c>
      <c r="J69" t="str">
        <f t="shared" si="13"/>
        <v>Medium</v>
      </c>
      <c r="L69" s="9">
        <v>0.39</v>
      </c>
      <c r="M69">
        <f t="shared" si="14"/>
        <v>5</v>
      </c>
      <c r="N69">
        <v>3</v>
      </c>
    </row>
    <row r="70" spans="1:14">
      <c r="A70" t="s">
        <v>215</v>
      </c>
      <c r="B70" s="8">
        <v>382</v>
      </c>
      <c r="C70" s="8">
        <v>700</v>
      </c>
      <c r="D70" s="9">
        <v>0.45</v>
      </c>
      <c r="E70">
        <v>-17</v>
      </c>
      <c r="F70">
        <v>2.6</v>
      </c>
      <c r="G70">
        <f t="shared" si="10"/>
        <v>17</v>
      </c>
      <c r="H70">
        <f t="shared" si="11"/>
        <v>318</v>
      </c>
      <c r="I70" t="str">
        <f t="shared" si="12"/>
        <v>Poor</v>
      </c>
      <c r="J70" t="str">
        <f t="shared" si="13"/>
        <v>High</v>
      </c>
      <c r="L70" s="9">
        <v>0.45</v>
      </c>
      <c r="M70">
        <f t="shared" si="14"/>
        <v>17</v>
      </c>
      <c r="N70">
        <v>2.6</v>
      </c>
    </row>
    <row r="71" spans="1:14">
      <c r="A71" t="s">
        <v>218</v>
      </c>
      <c r="B71" s="8">
        <v>2300</v>
      </c>
      <c r="C71" s="8">
        <v>3240</v>
      </c>
      <c r="D71" s="9">
        <v>0.29</v>
      </c>
      <c r="E71">
        <v>-5</v>
      </c>
      <c r="F71">
        <v>3</v>
      </c>
      <c r="G71">
        <f t="shared" si="10"/>
        <v>5</v>
      </c>
      <c r="H71">
        <f t="shared" si="11"/>
        <v>940</v>
      </c>
      <c r="I71" t="str">
        <f t="shared" si="12"/>
        <v>Average </v>
      </c>
      <c r="J71" t="str">
        <f t="shared" si="13"/>
        <v>Medium</v>
      </c>
      <c r="L71" s="9">
        <v>0.29</v>
      </c>
      <c r="M71">
        <f t="shared" si="14"/>
        <v>5</v>
      </c>
      <c r="N71">
        <v>3</v>
      </c>
    </row>
    <row r="72" spans="1:14">
      <c r="A72" t="s">
        <v>221</v>
      </c>
      <c r="B72" s="8">
        <v>345</v>
      </c>
      <c r="C72" s="8">
        <v>602</v>
      </c>
      <c r="D72" s="9">
        <v>0.43</v>
      </c>
      <c r="E72">
        <v>-6</v>
      </c>
      <c r="F72">
        <v>2.3</v>
      </c>
      <c r="G72">
        <f t="shared" si="10"/>
        <v>6</v>
      </c>
      <c r="H72">
        <f t="shared" si="11"/>
        <v>257</v>
      </c>
      <c r="I72" t="str">
        <f t="shared" si="12"/>
        <v>Poor</v>
      </c>
      <c r="J72" t="str">
        <f t="shared" si="13"/>
        <v>High</v>
      </c>
      <c r="L72" s="9">
        <v>0.43</v>
      </c>
      <c r="M72">
        <f t="shared" si="14"/>
        <v>6</v>
      </c>
      <c r="N72">
        <v>2.3</v>
      </c>
    </row>
    <row r="73" spans="1:14">
      <c r="A73" t="s">
        <v>224</v>
      </c>
      <c r="B73" s="8">
        <v>509</v>
      </c>
      <c r="C73" s="8">
        <v>899</v>
      </c>
      <c r="D73" s="9">
        <v>0.43</v>
      </c>
      <c r="E73">
        <v>-5</v>
      </c>
      <c r="F73">
        <v>3</v>
      </c>
      <c r="G73">
        <f t="shared" si="10"/>
        <v>5</v>
      </c>
      <c r="H73">
        <f t="shared" si="11"/>
        <v>390</v>
      </c>
      <c r="I73" t="str">
        <f t="shared" si="12"/>
        <v>Average </v>
      </c>
      <c r="J73" t="str">
        <f t="shared" si="13"/>
        <v>High</v>
      </c>
      <c r="L73" s="9">
        <v>0.43</v>
      </c>
      <c r="M73">
        <f t="shared" si="14"/>
        <v>5</v>
      </c>
      <c r="N73">
        <v>3</v>
      </c>
    </row>
    <row r="74" spans="1:14">
      <c r="A74" t="s">
        <v>227</v>
      </c>
      <c r="B74" s="8">
        <v>968</v>
      </c>
      <c r="C74" s="8">
        <v>1814</v>
      </c>
      <c r="D74" s="9">
        <v>0.47</v>
      </c>
      <c r="E74">
        <v>-6</v>
      </c>
      <c r="F74">
        <v>2.2</v>
      </c>
      <c r="G74">
        <f t="shared" si="10"/>
        <v>6</v>
      </c>
      <c r="H74">
        <f t="shared" si="11"/>
        <v>846</v>
      </c>
      <c r="I74" t="str">
        <f t="shared" si="12"/>
        <v>Poor</v>
      </c>
      <c r="J74" t="str">
        <f t="shared" si="13"/>
        <v>High</v>
      </c>
      <c r="L74" s="9">
        <v>0.47</v>
      </c>
      <c r="M74">
        <f t="shared" si="14"/>
        <v>6</v>
      </c>
      <c r="N74">
        <v>2.2</v>
      </c>
    </row>
    <row r="75" spans="1:14">
      <c r="A75" t="s">
        <v>229</v>
      </c>
      <c r="B75" s="8">
        <v>1570</v>
      </c>
      <c r="C75" s="8">
        <v>2988</v>
      </c>
      <c r="D75" s="9">
        <v>0.47</v>
      </c>
      <c r="E75">
        <v>-7</v>
      </c>
      <c r="F75">
        <v>2.1</v>
      </c>
      <c r="G75">
        <f t="shared" si="10"/>
        <v>7</v>
      </c>
      <c r="H75">
        <f t="shared" si="11"/>
        <v>1418</v>
      </c>
      <c r="I75" t="str">
        <f t="shared" si="12"/>
        <v>Poor</v>
      </c>
      <c r="J75" t="str">
        <f t="shared" si="13"/>
        <v>High</v>
      </c>
      <c r="L75" s="9">
        <v>0.47</v>
      </c>
      <c r="M75">
        <f t="shared" si="14"/>
        <v>7</v>
      </c>
      <c r="N75">
        <v>2.1</v>
      </c>
    </row>
    <row r="76" spans="1:14">
      <c r="A76" t="s">
        <v>232</v>
      </c>
      <c r="B76" s="8">
        <v>790</v>
      </c>
      <c r="C76" s="8">
        <v>1485</v>
      </c>
      <c r="D76" s="9">
        <v>0.47</v>
      </c>
      <c r="E76">
        <v>0</v>
      </c>
      <c r="F76">
        <v>0</v>
      </c>
      <c r="G76">
        <f t="shared" si="10"/>
        <v>0</v>
      </c>
      <c r="H76">
        <f t="shared" si="11"/>
        <v>695</v>
      </c>
      <c r="I76" t="str">
        <f t="shared" si="12"/>
        <v>Poor</v>
      </c>
      <c r="J76" t="str">
        <f t="shared" si="13"/>
        <v>High</v>
      </c>
      <c r="L76" s="9">
        <v>0.47</v>
      </c>
      <c r="M76">
        <f t="shared" si="14"/>
        <v>0</v>
      </c>
      <c r="N76">
        <v>0</v>
      </c>
    </row>
    <row r="77" spans="1:14">
      <c r="A77" t="s">
        <v>235</v>
      </c>
      <c r="B77" s="8">
        <v>690</v>
      </c>
      <c r="C77" s="8">
        <v>1200</v>
      </c>
      <c r="D77" s="9">
        <v>0.43</v>
      </c>
      <c r="E77">
        <v>0</v>
      </c>
      <c r="F77">
        <v>0</v>
      </c>
      <c r="G77">
        <f t="shared" si="10"/>
        <v>0</v>
      </c>
      <c r="H77">
        <f t="shared" si="11"/>
        <v>510</v>
      </c>
      <c r="I77" t="str">
        <f t="shared" si="12"/>
        <v>Poor</v>
      </c>
      <c r="J77" t="str">
        <f t="shared" si="13"/>
        <v>High</v>
      </c>
      <c r="L77" s="9">
        <v>0.43</v>
      </c>
      <c r="M77">
        <f t="shared" si="14"/>
        <v>0</v>
      </c>
      <c r="N77">
        <v>0</v>
      </c>
    </row>
    <row r="78" spans="1:14">
      <c r="A78" t="s">
        <v>237</v>
      </c>
      <c r="B78" s="8">
        <v>1732</v>
      </c>
      <c r="C78" s="8">
        <v>1799</v>
      </c>
      <c r="D78" s="9">
        <v>0.04</v>
      </c>
      <c r="E78">
        <v>0</v>
      </c>
      <c r="F78">
        <v>0</v>
      </c>
      <c r="G78">
        <f t="shared" si="10"/>
        <v>0</v>
      </c>
      <c r="H78">
        <f t="shared" si="11"/>
        <v>67</v>
      </c>
      <c r="I78" t="str">
        <f t="shared" si="12"/>
        <v>Poor</v>
      </c>
      <c r="J78" t="str">
        <f t="shared" si="13"/>
        <v>Low</v>
      </c>
      <c r="L78" s="9">
        <v>0.04</v>
      </c>
      <c r="M78">
        <f t="shared" si="14"/>
        <v>0</v>
      </c>
      <c r="N78">
        <v>0</v>
      </c>
    </row>
    <row r="79" spans="1:14">
      <c r="A79" t="s">
        <v>240</v>
      </c>
      <c r="B79" s="8">
        <v>230</v>
      </c>
      <c r="C79" s="8">
        <v>450</v>
      </c>
      <c r="D79" s="9">
        <v>0.49</v>
      </c>
      <c r="E79">
        <v>0</v>
      </c>
      <c r="F79">
        <v>0</v>
      </c>
      <c r="G79">
        <f t="shared" si="10"/>
        <v>0</v>
      </c>
      <c r="H79">
        <f t="shared" si="11"/>
        <v>220</v>
      </c>
      <c r="I79" t="str">
        <f t="shared" si="12"/>
        <v>Poor</v>
      </c>
      <c r="J79" t="str">
        <f t="shared" si="13"/>
        <v>High</v>
      </c>
      <c r="L79" s="9">
        <v>0.49</v>
      </c>
      <c r="M79">
        <f t="shared" si="14"/>
        <v>0</v>
      </c>
      <c r="N79">
        <v>0</v>
      </c>
    </row>
    <row r="80" spans="1:14">
      <c r="A80" t="s">
        <v>243</v>
      </c>
      <c r="B80" s="8">
        <v>1189</v>
      </c>
      <c r="C80" s="8">
        <v>2199</v>
      </c>
      <c r="D80" s="9">
        <v>0.46</v>
      </c>
      <c r="E80">
        <v>-1</v>
      </c>
      <c r="F80">
        <v>3</v>
      </c>
      <c r="G80">
        <f t="shared" si="10"/>
        <v>1</v>
      </c>
      <c r="H80">
        <f t="shared" si="11"/>
        <v>1010</v>
      </c>
      <c r="I80" t="str">
        <f t="shared" si="12"/>
        <v>Average </v>
      </c>
      <c r="J80" t="str">
        <f t="shared" si="13"/>
        <v>High</v>
      </c>
      <c r="L80" s="9">
        <v>0.46</v>
      </c>
      <c r="M80">
        <f t="shared" si="14"/>
        <v>1</v>
      </c>
      <c r="N80">
        <v>3</v>
      </c>
    </row>
    <row r="81" spans="1:14">
      <c r="A81" t="s">
        <v>245</v>
      </c>
      <c r="B81" s="8">
        <v>979</v>
      </c>
      <c r="C81" s="8">
        <v>1920</v>
      </c>
      <c r="D81" s="9">
        <v>0.49</v>
      </c>
      <c r="E81">
        <v>-1</v>
      </c>
      <c r="F81">
        <v>5</v>
      </c>
      <c r="G81">
        <f t="shared" si="10"/>
        <v>1</v>
      </c>
      <c r="H81">
        <f t="shared" si="11"/>
        <v>941</v>
      </c>
      <c r="I81" t="str">
        <f t="shared" si="12"/>
        <v>Excellent</v>
      </c>
      <c r="J81" t="str">
        <f t="shared" si="13"/>
        <v>High</v>
      </c>
      <c r="L81" s="9">
        <v>0.49</v>
      </c>
      <c r="M81">
        <f t="shared" si="14"/>
        <v>1</v>
      </c>
      <c r="N81">
        <v>5</v>
      </c>
    </row>
    <row r="82" spans="1:14">
      <c r="A82" t="s">
        <v>248</v>
      </c>
      <c r="B82" s="8">
        <v>1460</v>
      </c>
      <c r="C82" s="8">
        <v>2290</v>
      </c>
      <c r="D82" s="9">
        <v>0.36</v>
      </c>
      <c r="E82">
        <v>0</v>
      </c>
      <c r="F82">
        <v>0</v>
      </c>
      <c r="G82">
        <f t="shared" si="10"/>
        <v>0</v>
      </c>
      <c r="H82">
        <f t="shared" si="11"/>
        <v>830</v>
      </c>
      <c r="I82" t="str">
        <f t="shared" si="12"/>
        <v>Poor</v>
      </c>
      <c r="J82" t="str">
        <f t="shared" si="13"/>
        <v>Medium</v>
      </c>
      <c r="L82" s="9">
        <v>0.36</v>
      </c>
      <c r="M82">
        <f t="shared" si="14"/>
        <v>0</v>
      </c>
      <c r="N82">
        <v>0</v>
      </c>
    </row>
    <row r="83" spans="1:14">
      <c r="A83" t="s">
        <v>251</v>
      </c>
      <c r="B83" s="8">
        <v>1666</v>
      </c>
      <c r="C83" s="8">
        <v>1699</v>
      </c>
      <c r="D83" s="9">
        <v>0.02</v>
      </c>
      <c r="E83">
        <v>0</v>
      </c>
      <c r="F83">
        <v>0</v>
      </c>
      <c r="G83">
        <f t="shared" si="10"/>
        <v>0</v>
      </c>
      <c r="H83">
        <f t="shared" si="11"/>
        <v>33</v>
      </c>
      <c r="I83" t="str">
        <f t="shared" si="12"/>
        <v>Poor</v>
      </c>
      <c r="J83" t="str">
        <f t="shared" si="13"/>
        <v>Low</v>
      </c>
      <c r="L83" s="9">
        <v>0.02</v>
      </c>
      <c r="M83">
        <f t="shared" si="14"/>
        <v>0</v>
      </c>
      <c r="N83">
        <v>0</v>
      </c>
    </row>
    <row r="84" spans="1:14">
      <c r="A84" t="s">
        <v>253</v>
      </c>
      <c r="B84" s="8">
        <v>330</v>
      </c>
      <c r="C84" s="8">
        <v>647</v>
      </c>
      <c r="D84" s="9">
        <v>0.49</v>
      </c>
      <c r="E84">
        <v>-1</v>
      </c>
      <c r="F84">
        <v>4</v>
      </c>
      <c r="G84">
        <f t="shared" si="10"/>
        <v>1</v>
      </c>
      <c r="H84">
        <f t="shared" si="11"/>
        <v>317</v>
      </c>
      <c r="I84" t="str">
        <f t="shared" si="12"/>
        <v>Average </v>
      </c>
      <c r="J84" t="str">
        <f t="shared" si="13"/>
        <v>High</v>
      </c>
      <c r="L84" s="9">
        <v>0.49</v>
      </c>
      <c r="M84">
        <f t="shared" si="14"/>
        <v>1</v>
      </c>
      <c r="N84">
        <v>4</v>
      </c>
    </row>
    <row r="85" spans="1:14">
      <c r="A85" t="s">
        <v>154</v>
      </c>
      <c r="B85" s="8">
        <v>176</v>
      </c>
      <c r="C85" s="8">
        <v>345</v>
      </c>
      <c r="D85" s="9">
        <v>0.49</v>
      </c>
      <c r="E85">
        <v>0</v>
      </c>
      <c r="F85">
        <v>0</v>
      </c>
      <c r="G85">
        <f t="shared" si="10"/>
        <v>0</v>
      </c>
      <c r="H85">
        <f t="shared" si="11"/>
        <v>169</v>
      </c>
      <c r="I85" t="str">
        <f t="shared" si="12"/>
        <v>Poor</v>
      </c>
      <c r="J85" t="str">
        <f t="shared" si="13"/>
        <v>High</v>
      </c>
      <c r="L85" s="9">
        <v>0.49</v>
      </c>
      <c r="M85">
        <f t="shared" si="14"/>
        <v>0</v>
      </c>
      <c r="N85">
        <v>0</v>
      </c>
    </row>
    <row r="86" spans="1:14">
      <c r="A86" t="s">
        <v>256</v>
      </c>
      <c r="B86" s="8">
        <v>1466</v>
      </c>
      <c r="C86" s="8">
        <v>1699</v>
      </c>
      <c r="D86" s="9">
        <v>0.14</v>
      </c>
      <c r="E86">
        <v>0</v>
      </c>
      <c r="F86">
        <v>0</v>
      </c>
      <c r="G86">
        <f t="shared" si="10"/>
        <v>0</v>
      </c>
      <c r="H86">
        <f t="shared" si="11"/>
        <v>233</v>
      </c>
      <c r="I86" t="str">
        <f t="shared" si="12"/>
        <v>Poor</v>
      </c>
      <c r="J86" t="str">
        <f t="shared" si="13"/>
        <v>Low</v>
      </c>
      <c r="L86" s="9">
        <v>0.14</v>
      </c>
      <c r="M86">
        <f t="shared" si="14"/>
        <v>0</v>
      </c>
      <c r="N86">
        <v>0</v>
      </c>
    </row>
    <row r="87" spans="1:14">
      <c r="A87" t="s">
        <v>258</v>
      </c>
      <c r="B87" s="8">
        <v>274</v>
      </c>
      <c r="C87" s="8">
        <v>537</v>
      </c>
      <c r="D87" s="9">
        <v>0.49</v>
      </c>
      <c r="E87">
        <v>0</v>
      </c>
      <c r="F87">
        <v>0</v>
      </c>
      <c r="G87">
        <f t="shared" si="10"/>
        <v>0</v>
      </c>
      <c r="H87">
        <f t="shared" si="11"/>
        <v>263</v>
      </c>
      <c r="I87" t="str">
        <f t="shared" si="12"/>
        <v>Poor</v>
      </c>
      <c r="J87" t="str">
        <f t="shared" si="13"/>
        <v>High</v>
      </c>
      <c r="L87" s="9">
        <v>0.49</v>
      </c>
      <c r="M87">
        <f t="shared" si="14"/>
        <v>0</v>
      </c>
      <c r="N87">
        <v>0</v>
      </c>
    </row>
    <row r="88" spans="1:14">
      <c r="A88" t="s">
        <v>261</v>
      </c>
      <c r="B88" s="8">
        <v>799</v>
      </c>
      <c r="C88" s="8">
        <v>900</v>
      </c>
      <c r="D88" s="9">
        <v>0.11</v>
      </c>
      <c r="E88">
        <v>0</v>
      </c>
      <c r="F88">
        <v>0</v>
      </c>
      <c r="G88">
        <f t="shared" si="10"/>
        <v>0</v>
      </c>
      <c r="H88">
        <f t="shared" si="11"/>
        <v>101</v>
      </c>
      <c r="I88" t="str">
        <f t="shared" si="12"/>
        <v>Poor</v>
      </c>
      <c r="J88" t="str">
        <f t="shared" si="13"/>
        <v>Low</v>
      </c>
      <c r="L88" s="9">
        <v>0.11</v>
      </c>
      <c r="M88">
        <f t="shared" si="14"/>
        <v>0</v>
      </c>
      <c r="N88">
        <v>0</v>
      </c>
    </row>
    <row r="89" spans="1:14">
      <c r="A89" t="s">
        <v>175</v>
      </c>
      <c r="B89" s="8">
        <v>657</v>
      </c>
      <c r="C89" s="8">
        <v>1288</v>
      </c>
      <c r="D89" s="9">
        <v>0.49</v>
      </c>
      <c r="E89">
        <v>0</v>
      </c>
      <c r="F89">
        <v>0</v>
      </c>
      <c r="G89">
        <f t="shared" si="10"/>
        <v>0</v>
      </c>
      <c r="H89">
        <f t="shared" si="11"/>
        <v>631</v>
      </c>
      <c r="I89" t="str">
        <f t="shared" si="12"/>
        <v>Poor</v>
      </c>
      <c r="J89" t="str">
        <f t="shared" si="13"/>
        <v>High</v>
      </c>
      <c r="L89" s="9">
        <v>0.49</v>
      </c>
      <c r="M89">
        <f t="shared" si="14"/>
        <v>0</v>
      </c>
      <c r="N89">
        <v>0</v>
      </c>
    </row>
    <row r="90" spans="1:14">
      <c r="A90" t="s">
        <v>264</v>
      </c>
      <c r="B90" s="8">
        <v>1468</v>
      </c>
      <c r="C90" s="8">
        <v>1699</v>
      </c>
      <c r="D90" s="9">
        <v>0.14</v>
      </c>
      <c r="E90">
        <v>0</v>
      </c>
      <c r="F90">
        <v>0</v>
      </c>
      <c r="G90">
        <f t="shared" si="10"/>
        <v>0</v>
      </c>
      <c r="H90">
        <f t="shared" si="11"/>
        <v>231</v>
      </c>
      <c r="I90" t="str">
        <f t="shared" si="12"/>
        <v>Poor</v>
      </c>
      <c r="J90" t="str">
        <f t="shared" si="13"/>
        <v>Low</v>
      </c>
      <c r="L90" s="9">
        <v>0.14</v>
      </c>
      <c r="M90">
        <f t="shared" si="14"/>
        <v>0</v>
      </c>
      <c r="N90">
        <v>0</v>
      </c>
    </row>
    <row r="91" spans="1:14">
      <c r="A91" t="s">
        <v>266</v>
      </c>
      <c r="B91" s="8">
        <v>630</v>
      </c>
      <c r="C91" s="8">
        <v>1100</v>
      </c>
      <c r="D91" s="9">
        <v>0.43</v>
      </c>
      <c r="E91">
        <v>0</v>
      </c>
      <c r="F91">
        <v>0</v>
      </c>
      <c r="G91">
        <f t="shared" si="10"/>
        <v>0</v>
      </c>
      <c r="H91">
        <f t="shared" si="11"/>
        <v>470</v>
      </c>
      <c r="I91" t="str">
        <f t="shared" si="12"/>
        <v>Poor</v>
      </c>
      <c r="J91" t="str">
        <f t="shared" si="13"/>
        <v>High</v>
      </c>
      <c r="L91" s="9">
        <v>0.43</v>
      </c>
      <c r="M91">
        <f t="shared" si="14"/>
        <v>0</v>
      </c>
      <c r="N91">
        <v>0</v>
      </c>
    </row>
    <row r="92" spans="1:14">
      <c r="A92" t="s">
        <v>269</v>
      </c>
      <c r="B92" s="8">
        <v>850</v>
      </c>
      <c r="C92" s="8">
        <v>1700</v>
      </c>
      <c r="D92" s="9">
        <v>0.5</v>
      </c>
      <c r="E92">
        <v>0</v>
      </c>
      <c r="F92">
        <v>0</v>
      </c>
      <c r="G92">
        <f t="shared" si="10"/>
        <v>0</v>
      </c>
      <c r="H92">
        <f t="shared" si="11"/>
        <v>850</v>
      </c>
      <c r="I92" t="str">
        <f t="shared" si="12"/>
        <v>Poor</v>
      </c>
      <c r="J92" t="str">
        <f t="shared" si="13"/>
        <v>High</v>
      </c>
      <c r="L92" s="9">
        <v>0.5</v>
      </c>
      <c r="M92">
        <f t="shared" si="14"/>
        <v>0</v>
      </c>
      <c r="N92">
        <v>0</v>
      </c>
    </row>
    <row r="93" spans="1:14">
      <c r="A93" t="s">
        <v>272</v>
      </c>
      <c r="B93" s="8">
        <v>1300</v>
      </c>
      <c r="C93" s="8">
        <v>2500</v>
      </c>
      <c r="D93" s="9">
        <v>0.48</v>
      </c>
      <c r="E93">
        <v>0</v>
      </c>
      <c r="F93">
        <v>0</v>
      </c>
      <c r="G93">
        <f t="shared" si="10"/>
        <v>0</v>
      </c>
      <c r="H93">
        <f t="shared" si="11"/>
        <v>1200</v>
      </c>
      <c r="I93" t="str">
        <f t="shared" si="12"/>
        <v>Poor</v>
      </c>
      <c r="J93" t="str">
        <f t="shared" si="13"/>
        <v>High</v>
      </c>
      <c r="L93" s="9">
        <v>0.48</v>
      </c>
      <c r="M93">
        <f t="shared" si="14"/>
        <v>0</v>
      </c>
      <c r="N93">
        <v>0</v>
      </c>
    </row>
    <row r="94" spans="1:14">
      <c r="A94" t="s">
        <v>274</v>
      </c>
      <c r="B94" s="8">
        <v>105</v>
      </c>
      <c r="C94" s="8">
        <v>200</v>
      </c>
      <c r="D94" s="9">
        <v>0.48</v>
      </c>
      <c r="E94">
        <v>0</v>
      </c>
      <c r="F94">
        <v>0</v>
      </c>
      <c r="G94">
        <f t="shared" si="10"/>
        <v>0</v>
      </c>
      <c r="H94">
        <f t="shared" si="11"/>
        <v>95</v>
      </c>
      <c r="I94" t="str">
        <f t="shared" si="12"/>
        <v>Poor</v>
      </c>
      <c r="J94" t="str">
        <f t="shared" si="13"/>
        <v>High</v>
      </c>
      <c r="L94" s="9">
        <v>0.48</v>
      </c>
      <c r="M94">
        <f t="shared" si="14"/>
        <v>0</v>
      </c>
      <c r="N94">
        <v>0</v>
      </c>
    </row>
    <row r="95" spans="1:14">
      <c r="A95" t="s">
        <v>277</v>
      </c>
      <c r="B95" s="8">
        <v>899</v>
      </c>
      <c r="C95" s="8">
        <v>1699</v>
      </c>
      <c r="D95" s="9">
        <v>0.47</v>
      </c>
      <c r="E95">
        <v>0</v>
      </c>
      <c r="F95">
        <v>0</v>
      </c>
      <c r="G95">
        <f t="shared" si="10"/>
        <v>0</v>
      </c>
      <c r="H95">
        <f t="shared" si="11"/>
        <v>800</v>
      </c>
      <c r="I95" t="str">
        <f t="shared" si="12"/>
        <v>Poor</v>
      </c>
      <c r="J95" t="str">
        <f t="shared" si="13"/>
        <v>High</v>
      </c>
      <c r="L95" s="9">
        <v>0.47</v>
      </c>
      <c r="M95">
        <f t="shared" si="14"/>
        <v>0</v>
      </c>
      <c r="N95">
        <v>0</v>
      </c>
    </row>
    <row r="96" spans="1:14">
      <c r="A96" t="s">
        <v>278</v>
      </c>
      <c r="B96" s="8">
        <v>1200</v>
      </c>
      <c r="C96" s="8">
        <v>2400</v>
      </c>
      <c r="D96" s="9">
        <v>0.5</v>
      </c>
      <c r="E96">
        <v>0</v>
      </c>
      <c r="F96">
        <v>0</v>
      </c>
      <c r="G96">
        <f t="shared" si="10"/>
        <v>0</v>
      </c>
      <c r="H96">
        <f t="shared" si="11"/>
        <v>1200</v>
      </c>
      <c r="I96" t="str">
        <f t="shared" si="12"/>
        <v>Poor</v>
      </c>
      <c r="J96" t="str">
        <f t="shared" si="13"/>
        <v>High</v>
      </c>
      <c r="L96" s="9">
        <v>0.5</v>
      </c>
      <c r="M96">
        <f t="shared" si="14"/>
        <v>0</v>
      </c>
      <c r="N96">
        <v>0</v>
      </c>
    </row>
    <row r="97" spans="1:14">
      <c r="A97" t="s">
        <v>280</v>
      </c>
      <c r="B97" s="8">
        <v>1526</v>
      </c>
      <c r="C97" s="8">
        <v>1660</v>
      </c>
      <c r="D97" s="9">
        <v>0.08</v>
      </c>
      <c r="E97">
        <v>0</v>
      </c>
      <c r="F97">
        <v>0</v>
      </c>
      <c r="G97">
        <f t="shared" si="10"/>
        <v>0</v>
      </c>
      <c r="H97">
        <f t="shared" si="11"/>
        <v>134</v>
      </c>
      <c r="I97" t="str">
        <f t="shared" si="12"/>
        <v>Poor</v>
      </c>
      <c r="J97" t="str">
        <f t="shared" si="13"/>
        <v>Low</v>
      </c>
      <c r="L97" s="9">
        <v>0.08</v>
      </c>
      <c r="M97">
        <f t="shared" si="14"/>
        <v>0</v>
      </c>
      <c r="N97">
        <v>0</v>
      </c>
    </row>
    <row r="98" spans="1:14">
      <c r="A98" t="s">
        <v>282</v>
      </c>
      <c r="B98" s="8">
        <v>1462</v>
      </c>
      <c r="C98" s="8">
        <v>1499</v>
      </c>
      <c r="D98" s="9">
        <v>0.02</v>
      </c>
      <c r="E98">
        <v>0</v>
      </c>
      <c r="F98">
        <v>0</v>
      </c>
      <c r="G98">
        <f t="shared" si="10"/>
        <v>0</v>
      </c>
      <c r="H98">
        <f t="shared" si="11"/>
        <v>37</v>
      </c>
      <c r="I98" t="str">
        <f t="shared" si="12"/>
        <v>Poor</v>
      </c>
      <c r="J98" t="str">
        <f t="shared" si="13"/>
        <v>Low</v>
      </c>
      <c r="L98" s="9">
        <v>0.02</v>
      </c>
      <c r="M98">
        <f t="shared" si="14"/>
        <v>0</v>
      </c>
      <c r="N98">
        <v>0</v>
      </c>
    </row>
    <row r="99" spans="1:14">
      <c r="A99" t="s">
        <v>284</v>
      </c>
      <c r="B99" s="8">
        <v>248</v>
      </c>
      <c r="C99" s="8">
        <v>486</v>
      </c>
      <c r="D99" s="9">
        <v>0.49</v>
      </c>
      <c r="E99">
        <v>0</v>
      </c>
      <c r="F99">
        <v>0</v>
      </c>
      <c r="G99">
        <f t="shared" si="10"/>
        <v>0</v>
      </c>
      <c r="H99">
        <f t="shared" si="11"/>
        <v>238</v>
      </c>
      <c r="I99" t="str">
        <f t="shared" si="12"/>
        <v>Poor</v>
      </c>
      <c r="J99" t="str">
        <f t="shared" si="13"/>
        <v>High</v>
      </c>
      <c r="L99" s="9">
        <v>0.49</v>
      </c>
      <c r="M99">
        <f>G99</f>
        <v>0</v>
      </c>
      <c r="N99">
        <v>0</v>
      </c>
    </row>
    <row r="100" spans="1:14">
      <c r="A100" t="s">
        <v>287</v>
      </c>
      <c r="B100" s="8">
        <v>3546</v>
      </c>
      <c r="C100" s="8">
        <v>3699</v>
      </c>
      <c r="D100" s="9">
        <v>0.04</v>
      </c>
      <c r="E100">
        <v>0</v>
      </c>
      <c r="F100">
        <v>0</v>
      </c>
      <c r="G100">
        <f t="shared" si="10"/>
        <v>0</v>
      </c>
      <c r="H100">
        <f t="shared" si="11"/>
        <v>153</v>
      </c>
      <c r="I100" t="str">
        <f t="shared" si="12"/>
        <v>Poor</v>
      </c>
      <c r="J100" t="str">
        <f t="shared" si="13"/>
        <v>Low</v>
      </c>
      <c r="L100" s="9">
        <v>0.04</v>
      </c>
      <c r="M100">
        <f>G100</f>
        <v>0</v>
      </c>
      <c r="N100">
        <v>0</v>
      </c>
    </row>
    <row r="101" spans="1:14">
      <c r="A101" t="s">
        <v>289</v>
      </c>
      <c r="B101" s="8">
        <v>525</v>
      </c>
      <c r="C101" s="8">
        <v>1029</v>
      </c>
      <c r="D101" s="9">
        <v>0.49</v>
      </c>
      <c r="E101">
        <v>0</v>
      </c>
      <c r="F101">
        <v>0</v>
      </c>
      <c r="G101">
        <f t="shared" si="10"/>
        <v>0</v>
      </c>
      <c r="H101">
        <f t="shared" si="11"/>
        <v>504</v>
      </c>
      <c r="I101" t="str">
        <f t="shared" si="12"/>
        <v>Poor</v>
      </c>
      <c r="J101" t="str">
        <f t="shared" si="13"/>
        <v>High</v>
      </c>
      <c r="L101" s="9">
        <v>0.49</v>
      </c>
      <c r="M101">
        <f>G101</f>
        <v>0</v>
      </c>
      <c r="N101">
        <v>0</v>
      </c>
    </row>
    <row r="102" spans="1:14">
      <c r="A102" t="s">
        <v>292</v>
      </c>
      <c r="B102" s="8">
        <v>1080</v>
      </c>
      <c r="C102" s="8">
        <v>1874</v>
      </c>
      <c r="D102" s="9">
        <v>0.42</v>
      </c>
      <c r="E102">
        <v>0</v>
      </c>
      <c r="F102">
        <v>0</v>
      </c>
      <c r="G102">
        <f t="shared" si="10"/>
        <v>0</v>
      </c>
      <c r="H102">
        <f t="shared" si="11"/>
        <v>794</v>
      </c>
      <c r="I102" t="str">
        <f t="shared" si="12"/>
        <v>Poor</v>
      </c>
      <c r="J102" t="str">
        <f t="shared" si="13"/>
        <v>High</v>
      </c>
      <c r="L102" s="9">
        <v>0.42</v>
      </c>
      <c r="M102">
        <f>G102</f>
        <v>0</v>
      </c>
      <c r="N102">
        <v>0</v>
      </c>
    </row>
    <row r="103" spans="1:14">
      <c r="A103" t="s">
        <v>295</v>
      </c>
      <c r="B103" s="8">
        <v>3640</v>
      </c>
      <c r="C103" s="8">
        <v>4588</v>
      </c>
      <c r="D103" s="9">
        <v>0.21</v>
      </c>
      <c r="E103">
        <v>-1</v>
      </c>
      <c r="F103">
        <v>5</v>
      </c>
      <c r="G103">
        <f t="shared" si="10"/>
        <v>1</v>
      </c>
      <c r="H103">
        <f t="shared" si="11"/>
        <v>948</v>
      </c>
      <c r="I103" t="str">
        <f t="shared" si="12"/>
        <v>Excellent</v>
      </c>
      <c r="J103" t="str">
        <f t="shared" si="13"/>
        <v>Medium</v>
      </c>
      <c r="L103" s="9">
        <v>0.21</v>
      </c>
      <c r="M103">
        <f>G103</f>
        <v>1</v>
      </c>
      <c r="N103">
        <v>5</v>
      </c>
    </row>
    <row r="104" spans="1:14">
      <c r="A104" t="s">
        <v>298</v>
      </c>
      <c r="B104" s="8">
        <v>1420</v>
      </c>
      <c r="C104" s="8">
        <v>2420</v>
      </c>
      <c r="D104" s="9">
        <v>0.41</v>
      </c>
      <c r="E104">
        <v>0</v>
      </c>
      <c r="F104">
        <v>0</v>
      </c>
      <c r="G104">
        <f t="shared" si="10"/>
        <v>0</v>
      </c>
      <c r="H104">
        <f t="shared" si="11"/>
        <v>1000</v>
      </c>
      <c r="I104" t="str">
        <f t="shared" si="12"/>
        <v>Poor</v>
      </c>
      <c r="J104" t="str">
        <f t="shared" si="13"/>
        <v>High</v>
      </c>
      <c r="L104" s="9">
        <v>0.41</v>
      </c>
      <c r="M104">
        <f>G104</f>
        <v>0</v>
      </c>
      <c r="N104">
        <v>0</v>
      </c>
    </row>
    <row r="105" spans="1:14">
      <c r="A105" t="s">
        <v>301</v>
      </c>
      <c r="B105" s="8">
        <v>1875</v>
      </c>
      <c r="C105" s="8">
        <v>1899</v>
      </c>
      <c r="D105" s="9">
        <v>0.01</v>
      </c>
      <c r="E105">
        <v>0</v>
      </c>
      <c r="F105">
        <v>0</v>
      </c>
      <c r="G105">
        <f t="shared" si="10"/>
        <v>0</v>
      </c>
      <c r="H105">
        <f t="shared" si="11"/>
        <v>24</v>
      </c>
      <c r="I105" t="str">
        <f t="shared" si="12"/>
        <v>Poor</v>
      </c>
      <c r="J105" t="str">
        <f t="shared" si="13"/>
        <v>Low</v>
      </c>
      <c r="L105" s="9">
        <v>0.01</v>
      </c>
      <c r="M105">
        <f>G105</f>
        <v>0</v>
      </c>
      <c r="N105">
        <v>0</v>
      </c>
    </row>
    <row r="106" spans="1:14">
      <c r="A106" t="s">
        <v>304</v>
      </c>
      <c r="B106" s="8">
        <v>198</v>
      </c>
      <c r="C106" s="8">
        <v>260</v>
      </c>
      <c r="D106" s="9">
        <v>0.24</v>
      </c>
      <c r="E106">
        <v>0</v>
      </c>
      <c r="F106">
        <v>0</v>
      </c>
      <c r="G106">
        <f t="shared" si="10"/>
        <v>0</v>
      </c>
      <c r="H106">
        <f t="shared" si="11"/>
        <v>62</v>
      </c>
      <c r="I106" t="str">
        <f t="shared" si="12"/>
        <v>Poor</v>
      </c>
      <c r="J106" t="str">
        <f t="shared" si="13"/>
        <v>Medium</v>
      </c>
      <c r="L106" s="9">
        <v>0.24</v>
      </c>
      <c r="M106">
        <f>G106</f>
        <v>0</v>
      </c>
      <c r="N106">
        <v>0</v>
      </c>
    </row>
    <row r="107" spans="1:14">
      <c r="A107" t="s">
        <v>307</v>
      </c>
      <c r="B107" s="8">
        <v>1150</v>
      </c>
      <c r="C107" s="8">
        <v>1737</v>
      </c>
      <c r="D107" s="9">
        <v>0.34</v>
      </c>
      <c r="E107">
        <v>0</v>
      </c>
      <c r="F107">
        <v>0</v>
      </c>
      <c r="G107">
        <f t="shared" si="10"/>
        <v>0</v>
      </c>
      <c r="H107">
        <f t="shared" si="11"/>
        <v>587</v>
      </c>
      <c r="I107" t="str">
        <f t="shared" si="12"/>
        <v>Poor</v>
      </c>
      <c r="J107" t="str">
        <f t="shared" si="13"/>
        <v>Medium</v>
      </c>
      <c r="L107" s="9">
        <v>0.34</v>
      </c>
      <c r="M107">
        <f>G107</f>
        <v>0</v>
      </c>
      <c r="N107">
        <v>0</v>
      </c>
    </row>
    <row r="108" spans="1:14">
      <c r="A108" t="s">
        <v>310</v>
      </c>
      <c r="B108" s="8">
        <v>1190</v>
      </c>
      <c r="C108" s="8">
        <v>1810</v>
      </c>
      <c r="D108" s="9">
        <v>0.34</v>
      </c>
      <c r="E108">
        <v>0</v>
      </c>
      <c r="F108">
        <v>0</v>
      </c>
      <c r="G108">
        <f t="shared" si="10"/>
        <v>0</v>
      </c>
      <c r="H108">
        <f t="shared" si="11"/>
        <v>620</v>
      </c>
      <c r="I108" t="str">
        <f t="shared" si="12"/>
        <v>Poor</v>
      </c>
      <c r="J108" t="str">
        <f t="shared" si="13"/>
        <v>Medium</v>
      </c>
      <c r="L108" s="9">
        <v>0.34</v>
      </c>
      <c r="M108">
        <f>G108</f>
        <v>0</v>
      </c>
      <c r="N108">
        <v>0</v>
      </c>
    </row>
    <row r="109" spans="1:14">
      <c r="A109" t="s">
        <v>312</v>
      </c>
      <c r="B109" s="8">
        <v>1658</v>
      </c>
      <c r="C109" s="8">
        <v>1699</v>
      </c>
      <c r="D109" s="9">
        <v>0.02</v>
      </c>
      <c r="E109">
        <v>0</v>
      </c>
      <c r="F109">
        <v>0</v>
      </c>
      <c r="G109">
        <f t="shared" si="10"/>
        <v>0</v>
      </c>
      <c r="H109">
        <f t="shared" si="11"/>
        <v>41</v>
      </c>
      <c r="I109" t="str">
        <f t="shared" si="12"/>
        <v>Poor</v>
      </c>
      <c r="J109" t="str">
        <f t="shared" si="13"/>
        <v>Low</v>
      </c>
      <c r="L109" s="9">
        <v>0.02</v>
      </c>
      <c r="M109">
        <f>G109</f>
        <v>0</v>
      </c>
      <c r="N109">
        <v>0</v>
      </c>
    </row>
    <row r="110" spans="1:14">
      <c r="A110" t="s">
        <v>314</v>
      </c>
      <c r="B110" s="8">
        <v>1768</v>
      </c>
      <c r="C110" s="8">
        <v>1799</v>
      </c>
      <c r="D110" s="9">
        <v>0.02</v>
      </c>
      <c r="E110">
        <v>0</v>
      </c>
      <c r="F110">
        <v>0</v>
      </c>
      <c r="G110">
        <f t="shared" si="10"/>
        <v>0</v>
      </c>
      <c r="H110">
        <f t="shared" si="11"/>
        <v>31</v>
      </c>
      <c r="I110" t="str">
        <f t="shared" si="12"/>
        <v>Poor</v>
      </c>
      <c r="J110" t="str">
        <f t="shared" si="13"/>
        <v>Low</v>
      </c>
      <c r="L110" s="9">
        <v>0.02</v>
      </c>
      <c r="M110">
        <f>G110</f>
        <v>0</v>
      </c>
      <c r="N110">
        <v>0</v>
      </c>
    </row>
    <row r="111" spans="1:14">
      <c r="A111" t="s">
        <v>316</v>
      </c>
      <c r="B111" s="8">
        <v>199</v>
      </c>
      <c r="C111" s="8">
        <v>553</v>
      </c>
      <c r="D111" s="9">
        <v>0.64</v>
      </c>
      <c r="E111">
        <v>0</v>
      </c>
      <c r="F111">
        <v>0</v>
      </c>
      <c r="G111">
        <f t="shared" si="10"/>
        <v>0</v>
      </c>
      <c r="H111">
        <f t="shared" si="11"/>
        <v>354</v>
      </c>
      <c r="I111" t="str">
        <f t="shared" si="12"/>
        <v>Poor</v>
      </c>
      <c r="J111" t="str">
        <f t="shared" si="13"/>
        <v>High</v>
      </c>
      <c r="L111" s="9">
        <v>0.64</v>
      </c>
      <c r="M111">
        <f>G111</f>
        <v>0</v>
      </c>
      <c r="N111">
        <v>0</v>
      </c>
    </row>
    <row r="112" spans="1:14">
      <c r="A112" t="s">
        <v>318</v>
      </c>
      <c r="B112" s="8">
        <v>450</v>
      </c>
      <c r="C112" s="8">
        <v>900</v>
      </c>
      <c r="D112" s="9">
        <v>0.5</v>
      </c>
      <c r="E112">
        <v>-1</v>
      </c>
      <c r="F112">
        <v>2</v>
      </c>
      <c r="G112">
        <f t="shared" si="10"/>
        <v>1</v>
      </c>
      <c r="H112">
        <f t="shared" si="11"/>
        <v>450</v>
      </c>
      <c r="I112" t="str">
        <f t="shared" si="12"/>
        <v>Poor</v>
      </c>
      <c r="J112" t="str">
        <f t="shared" si="13"/>
        <v>High</v>
      </c>
      <c r="L112" s="9">
        <v>0.5</v>
      </c>
      <c r="M112">
        <f>G112</f>
        <v>1</v>
      </c>
      <c r="N112">
        <v>2</v>
      </c>
    </row>
    <row r="113" spans="1:14">
      <c r="A113" t="s">
        <v>320</v>
      </c>
      <c r="B113" s="8">
        <v>169</v>
      </c>
      <c r="C113" s="8">
        <v>320</v>
      </c>
      <c r="D113" s="9">
        <v>0.47</v>
      </c>
      <c r="E113">
        <v>0</v>
      </c>
      <c r="F113">
        <v>0</v>
      </c>
      <c r="G113">
        <f t="shared" si="10"/>
        <v>0</v>
      </c>
      <c r="H113">
        <f t="shared" si="11"/>
        <v>151</v>
      </c>
      <c r="I113" t="str">
        <f t="shared" si="12"/>
        <v>Poor</v>
      </c>
      <c r="J113" t="str">
        <f t="shared" si="13"/>
        <v>High</v>
      </c>
      <c r="L113" s="9">
        <v>0.47</v>
      </c>
      <c r="M113">
        <f>G113</f>
        <v>0</v>
      </c>
      <c r="N11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45"/>
  <sheetViews>
    <sheetView workbookViewId="0">
      <selection activeCell="B10" sqref="B10"/>
    </sheetView>
  </sheetViews>
  <sheetFormatPr defaultColWidth="9.12380952380952" defaultRowHeight="15" outlineLevelCol="6"/>
  <cols>
    <col min="1" max="2" width="19"/>
    <col min="3" max="5" width="12.8761904761905"/>
    <col min="6" max="6" width="75.7523809523809"/>
    <col min="7" max="7" width="15.1238095238095"/>
    <col min="8" max="14" width="11.247619047619"/>
    <col min="15" max="15" width="11.8761904761905"/>
    <col min="16" max="16" width="69.1238095238095"/>
    <col min="17" max="17" width="72.7523809523809"/>
    <col min="18" max="18" width="72.3714285714286"/>
    <col min="19" max="19" width="75.8761904761905"/>
    <col min="20" max="20" width="39"/>
    <col min="21" max="21" width="42.3714285714286"/>
    <col min="22" max="22" width="54"/>
    <col min="23" max="23" width="57.3714285714286"/>
    <col min="24" max="24" width="47.752380952381"/>
    <col min="25" max="25" width="51.247619047619"/>
    <col min="26" max="26" width="75.2476190476191"/>
    <col min="27" max="27" width="78.7523809523809"/>
    <col min="28" max="28" width="71.6285714285714"/>
    <col min="29" max="29" width="75.2476190476191"/>
    <col min="30" max="30" width="73.7523809523809"/>
    <col min="31" max="31" width="77.2476190476191"/>
    <col min="32" max="32" width="59.247619047619"/>
    <col min="33" max="33" width="62.752380952381"/>
    <col min="34" max="34" width="44.3714285714286"/>
    <col min="35" max="35" width="47.8761904761905"/>
    <col min="36" max="36" width="68.3714285714286"/>
    <col min="37" max="37" width="71.8761904761905"/>
    <col min="38" max="38" width="78.7523809523809"/>
    <col min="39" max="39" width="82.2476190476191"/>
    <col min="40" max="40" width="63.1238095238095"/>
    <col min="41" max="41" width="66.6285714285714"/>
    <col min="42" max="42" width="54.3714285714286"/>
    <col min="43" max="43" width="57.8761904761905"/>
    <col min="44" max="44" width="45.6285714285714"/>
    <col min="45" max="45" width="49.1238095238095"/>
    <col min="46" max="46" width="56.247619047619"/>
    <col min="47" max="47" width="59.8761904761905"/>
    <col min="48" max="48" width="50.752380952381"/>
    <col min="49" max="49" width="54.247619047619"/>
    <col min="50" max="50" width="41.5047619047619"/>
    <col min="51" max="51" width="45"/>
    <col min="52" max="52" width="53.5047619047619"/>
    <col min="53" max="53" width="57.1238095238095"/>
    <col min="54" max="54" width="72.3714285714286"/>
    <col min="55" max="55" width="75.8761904761905"/>
    <col min="56" max="56" width="54.6285714285714"/>
    <col min="57" max="57" width="58.1238095238095"/>
    <col min="58" max="58" width="60.1238095238095"/>
    <col min="59" max="59" width="63.752380952381"/>
    <col min="60" max="60" width="62.3714285714286"/>
    <col min="61" max="61" width="65.8761904761905"/>
    <col min="62" max="62" width="62.6285714285714"/>
    <col min="63" max="63" width="66.2476190476191"/>
    <col min="64" max="64" width="105.752380952381"/>
    <col min="65" max="65" width="109.247619047619"/>
    <col min="66" max="66" width="59.752380952381"/>
    <col min="67" max="67" width="63.247619047619"/>
    <col min="68" max="68" width="55.247619047619"/>
    <col min="69" max="69" width="58.752380952381"/>
    <col min="70" max="70" width="65.1238095238095"/>
    <col min="71" max="71" width="68.7523809523809"/>
    <col min="72" max="72" width="67.1238095238095"/>
    <col min="73" max="73" width="70.6285714285714"/>
    <col min="74" max="74" width="73"/>
    <col min="75" max="75" width="76.6285714285714"/>
    <col min="76" max="76" width="60.752380952381"/>
    <col min="77" max="77" width="64.2476190476191"/>
    <col min="78" max="78" width="33.6285714285714"/>
    <col min="79" max="79" width="37.1238095238095"/>
    <col min="80" max="80" width="70"/>
    <col min="81" max="81" width="73.3714285714286"/>
    <col min="82" max="82" width="57.1238095238095"/>
    <col min="83" max="83" width="60.6285714285714"/>
    <col min="84" max="84" width="62.247619047619"/>
    <col min="85" max="85" width="65.7523809523809"/>
    <col min="86" max="86" width="58.247619047619"/>
    <col min="87" max="87" width="61.752380952381"/>
    <col min="88" max="88" width="62.5047619047619"/>
    <col min="89" max="89" width="66.1238095238095"/>
    <col min="90" max="90" width="63.247619047619"/>
    <col min="91" max="91" width="66.7523809523809"/>
    <col min="92" max="92" width="55"/>
    <col min="93" max="93" width="58.6285714285714"/>
    <col min="94" max="94" width="74.5047619047619"/>
    <col min="95" max="95" width="78"/>
    <col min="96" max="96" width="59.5047619047619"/>
    <col min="97" max="97" width="63"/>
    <col min="98" max="98" width="40.247619047619"/>
    <col min="99" max="99" width="43.752380952381"/>
    <col min="100" max="100" width="27.752380952381"/>
    <col min="101" max="101" width="31.3714285714286"/>
    <col min="102" max="102" width="62.6285714285714"/>
    <col min="103" max="103" width="66.2476190476191"/>
    <col min="104" max="104" width="69.7523809523809"/>
    <col min="105" max="105" width="73.2476190476191"/>
    <col min="106" max="106" width="62.6285714285714"/>
    <col min="107" max="107" width="66.2476190476191"/>
    <col min="108" max="108" width="65.7523809523809"/>
    <col min="109" max="109" width="69.2476190476191"/>
    <col min="110" max="110" width="57.752380952381"/>
    <col min="111" max="111" width="61.247619047619"/>
    <col min="112" max="112" width="37"/>
    <col min="113" max="113" width="40.6285714285714"/>
    <col min="114" max="114" width="77.5047619047619"/>
    <col min="115" max="115" width="81"/>
    <col min="116" max="116" width="62.1238095238095"/>
    <col min="117" max="117" width="65.6285714285714"/>
    <col min="118" max="118" width="59.3714285714286"/>
    <col min="119" max="119" width="62.8761904761905"/>
    <col min="120" max="120" width="77.6285714285714"/>
    <col min="121" max="121" width="81.1238095238095"/>
    <col min="122" max="122" width="80.1238095238095"/>
    <col min="123" max="123" width="83.6285714285714"/>
    <col min="124" max="124" width="42.5047619047619"/>
    <col min="125" max="125" width="46"/>
    <col min="126" max="126" width="43.6285714285714"/>
    <col min="127" max="127" width="47.1238095238095"/>
    <col min="128" max="128" width="32.1238095238095"/>
    <col min="129" max="129" width="35.6285714285714"/>
    <col min="130" max="130" width="82.3714285714286"/>
    <col min="131" max="131" width="85.8761904761905"/>
    <col min="132" max="132" width="38"/>
    <col min="133" max="133" width="41.3714285714286"/>
    <col min="134" max="134" width="63.247619047619"/>
    <col min="135" max="135" width="66.7523809523809"/>
    <col min="136" max="136" width="74.7523809523809"/>
    <col min="137" max="137" width="78.2476190476191"/>
    <col min="138" max="138" width="55.752380952381"/>
    <col min="139" max="139" width="59.247619047619"/>
    <col min="140" max="140" width="47.752380952381"/>
    <col min="141" max="141" width="51.247619047619"/>
    <col min="142" max="142" width="53.1238095238095"/>
    <col min="143" max="143" width="56.6285714285714"/>
    <col min="144" max="144" width="45.6285714285714"/>
    <col min="145" max="145" width="49.1238095238095"/>
    <col min="146" max="146" width="39.5047619047619"/>
    <col min="147" max="147" width="43.1238095238095"/>
    <col min="148" max="148" width="65.6285714285714"/>
    <col min="149" max="149" width="69.1238095238095"/>
    <col min="150" max="150" width="78.5047619047619"/>
    <col min="151" max="151" width="82"/>
    <col min="152" max="152" width="82.7523809523809"/>
    <col min="153" max="153" width="86.2476190476191"/>
    <col min="154" max="154" width="36.5047619047619"/>
    <col min="155" max="155" width="40"/>
    <col min="156" max="156" width="66.1238095238095"/>
    <col min="157" max="157" width="69.6285714285714"/>
    <col min="158" max="158" width="63.3714285714286"/>
    <col min="159" max="159" width="66.8761904761905"/>
    <col min="160" max="160" width="81"/>
    <col min="161" max="161" width="84.3714285714286"/>
    <col min="162" max="162" width="80.3714285714286"/>
    <col min="163" max="163" width="83.8761904761905"/>
    <col min="164" max="164" width="55"/>
    <col min="165" max="165" width="58.6285714285714"/>
    <col min="166" max="166" width="52"/>
    <col min="167" max="167" width="55.3714285714286"/>
    <col min="168" max="168" width="60.6285714285714"/>
    <col min="169" max="169" width="64.1238095238095"/>
    <col min="170" max="170" width="53.247619047619"/>
    <col min="171" max="171" width="56.752380952381"/>
    <col min="172" max="172" width="78"/>
    <col min="173" max="173" width="81.6285714285714"/>
    <col min="174" max="174" width="82.2476190476191"/>
    <col min="175" max="175" width="85.7523809523809"/>
    <col min="176" max="176" width="79.6285714285714"/>
    <col min="177" max="177" width="83.1238095238095"/>
    <col min="178" max="178" width="67.2476190476191"/>
    <col min="179" max="179" width="70.7523809523809"/>
    <col min="180" max="180" width="52"/>
    <col min="181" max="181" width="55.3714285714286"/>
    <col min="182" max="182" width="61.6285714285714"/>
    <col min="183" max="183" width="65.1238095238095"/>
    <col min="184" max="184" width="60.3714285714286"/>
    <col min="185" max="185" width="63.8761904761905"/>
    <col min="186" max="186" width="58.5047619047619"/>
    <col min="187" max="187" width="62"/>
    <col min="188" max="188" width="51.6285714285714"/>
    <col min="189" max="189" width="55.1238095238095"/>
    <col min="190" max="190" width="69.1238095238095"/>
    <col min="191" max="191" width="72.7523809523809"/>
    <col min="192" max="192" width="76"/>
    <col min="193" max="193" width="79.3714285714286"/>
    <col min="194" max="194" width="48.752380952381"/>
    <col min="195" max="195" width="52.247619047619"/>
    <col min="196" max="196" width="73.5047619047619"/>
    <col min="197" max="197" width="77"/>
    <col min="198" max="198" width="81.1238095238095"/>
    <col min="199" max="199" width="84.6285714285714"/>
    <col min="200" max="200" width="62.6285714285714"/>
    <col min="201" max="201" width="66.2476190476191"/>
    <col min="202" max="202" width="85"/>
    <col min="203" max="203" width="88.3714285714286"/>
    <col min="204" max="204" width="61.6285714285714"/>
    <col min="205" max="205" width="65.1238095238095"/>
    <col min="206" max="206" width="76.5047619047619"/>
    <col min="207" max="207" width="80"/>
    <col min="208" max="208" width="86.6285714285714"/>
    <col min="209" max="209" width="90.1238095238095"/>
    <col min="210" max="210" width="34.752380952381"/>
    <col min="211" max="211" width="38.247619047619"/>
    <col min="212" max="212" width="87.6285714285714"/>
    <col min="213" max="213" width="91.1238095238095"/>
    <col min="214" max="214" width="46"/>
    <col min="215" max="215" width="49.6285714285714"/>
    <col min="216" max="216" width="67.3714285714286"/>
    <col min="217" max="217" width="70.8761904761905"/>
    <col min="218" max="218" width="52"/>
    <col min="219" max="219" width="55.3714285714286"/>
    <col min="220" max="220" width="59.6285714285714"/>
    <col min="221" max="221" width="63.1238095238095"/>
    <col min="222" max="222" width="69"/>
    <col min="223" max="223" width="72.6285714285714"/>
    <col min="224" max="224" width="9.75238095238095"/>
    <col min="225" max="225" width="13"/>
    <col min="226" max="226" width="11.8761904761905"/>
  </cols>
  <sheetData>
    <row r="3" spans="1:1">
      <c r="A3" t="s">
        <v>401</v>
      </c>
    </row>
    <row r="4" spans="1:1">
      <c r="A4">
        <v>1186.89285714286</v>
      </c>
    </row>
    <row r="6" spans="1:1">
      <c r="A6" t="s">
        <v>402</v>
      </c>
    </row>
    <row r="7" spans="1:1">
      <c r="A7">
        <v>1811.10714285714</v>
      </c>
    </row>
    <row r="9" spans="1:1">
      <c r="A9" t="s">
        <v>403</v>
      </c>
    </row>
    <row r="10" spans="1:1">
      <c r="A10">
        <v>0.367767857142857</v>
      </c>
    </row>
    <row r="12" spans="1:1">
      <c r="A12" t="s">
        <v>404</v>
      </c>
    </row>
    <row r="13" spans="1:1">
      <c r="A13">
        <v>1.97946428571429</v>
      </c>
    </row>
    <row r="15" spans="1:1">
      <c r="A15" t="s">
        <v>405</v>
      </c>
    </row>
    <row r="16" spans="1:1">
      <c r="A16">
        <v>3750</v>
      </c>
    </row>
    <row r="18" spans="1:7">
      <c r="A18" t="s">
        <v>406</v>
      </c>
    </row>
    <row r="19" spans="1:7">
      <c r="A19">
        <v>38</v>
      </c>
      <c r="F19" t="s">
        <v>398</v>
      </c>
      <c r="G19" t="s">
        <v>407</v>
      </c>
    </row>
    <row r="21" spans="1:7">
      <c r="A21" t="s">
        <v>399</v>
      </c>
      <c r="B21" t="s">
        <v>408</v>
      </c>
      <c r="F21" t="s">
        <v>394</v>
      </c>
      <c r="G21" t="s">
        <v>409</v>
      </c>
    </row>
    <row r="22" spans="1:7">
      <c r="F22" t="s">
        <v>125</v>
      </c>
      <c r="G22">
        <v>4.5</v>
      </c>
    </row>
    <row r="23" spans="1:7">
      <c r="A23" t="s">
        <v>3</v>
      </c>
      <c r="B23" t="s">
        <v>404</v>
      </c>
      <c r="F23" t="s">
        <v>44</v>
      </c>
      <c r="G23">
        <v>4.7</v>
      </c>
    </row>
    <row r="24" spans="1:7">
      <c r="A24">
        <v>0.41</v>
      </c>
      <c r="B24">
        <v>1.43333333333333</v>
      </c>
      <c r="F24" t="s">
        <v>6</v>
      </c>
      <c r="G24">
        <v>4.5</v>
      </c>
    </row>
    <row r="25" spans="1:7">
      <c r="A25">
        <v>0.42</v>
      </c>
      <c r="B25">
        <v>1.125</v>
      </c>
      <c r="F25" t="s">
        <v>105</v>
      </c>
      <c r="G25">
        <v>4.7</v>
      </c>
    </row>
    <row r="26" spans="1:7">
      <c r="A26">
        <v>0.43</v>
      </c>
      <c r="B26">
        <v>1.325</v>
      </c>
      <c r="F26" t="s">
        <v>30</v>
      </c>
      <c r="G26">
        <v>4.6</v>
      </c>
    </row>
    <row r="27" spans="1:7">
      <c r="A27">
        <v>0.45</v>
      </c>
      <c r="B27">
        <v>2.15</v>
      </c>
      <c r="F27" t="s">
        <v>68</v>
      </c>
      <c r="G27">
        <v>4.6</v>
      </c>
    </row>
    <row r="28" spans="1:7">
      <c r="A28">
        <v>0.46</v>
      </c>
      <c r="B28">
        <v>2.66666666666667</v>
      </c>
      <c r="F28" t="s">
        <v>47</v>
      </c>
      <c r="G28">
        <v>4.8</v>
      </c>
    </row>
    <row r="29" spans="1:7">
      <c r="A29">
        <v>0.47</v>
      </c>
      <c r="B29">
        <v>1.88571428571429</v>
      </c>
      <c r="F29" t="s">
        <v>114</v>
      </c>
      <c r="G29">
        <v>4.5</v>
      </c>
    </row>
    <row r="30" spans="1:7">
      <c r="A30">
        <v>0.48</v>
      </c>
      <c r="B30">
        <v>1.075</v>
      </c>
      <c r="F30" t="s">
        <v>111</v>
      </c>
      <c r="G30">
        <v>4.7</v>
      </c>
    </row>
    <row r="31" spans="1:7">
      <c r="A31">
        <v>0.49</v>
      </c>
      <c r="B31">
        <v>1.52857142857143</v>
      </c>
      <c r="F31" t="s">
        <v>56</v>
      </c>
      <c r="G31">
        <v>5</v>
      </c>
    </row>
    <row r="32" spans="1:7">
      <c r="A32">
        <v>0.5</v>
      </c>
      <c r="B32">
        <v>0.614285714285714</v>
      </c>
      <c r="F32" t="s">
        <v>245</v>
      </c>
      <c r="G32">
        <v>5</v>
      </c>
    </row>
    <row r="33" spans="1:7">
      <c r="A33">
        <v>0.51</v>
      </c>
      <c r="B33">
        <v>5</v>
      </c>
      <c r="F33" t="s">
        <v>120</v>
      </c>
      <c r="G33">
        <v>5</v>
      </c>
    </row>
    <row r="34" spans="1:7">
      <c r="A34">
        <v>0.52</v>
      </c>
      <c r="B34">
        <v>3.5</v>
      </c>
      <c r="F34" t="s">
        <v>117</v>
      </c>
      <c r="G34">
        <v>5</v>
      </c>
    </row>
    <row r="35" spans="1:7">
      <c r="A35">
        <v>0.53</v>
      </c>
      <c r="B35">
        <v>4.15</v>
      </c>
      <c r="F35" t="s">
        <v>89</v>
      </c>
      <c r="G35">
        <v>4.6</v>
      </c>
    </row>
    <row r="36" spans="1:7">
      <c r="A36">
        <v>0.54</v>
      </c>
      <c r="B36">
        <v>3.65</v>
      </c>
      <c r="F36" t="s">
        <v>295</v>
      </c>
      <c r="G36">
        <v>5</v>
      </c>
    </row>
    <row r="37" spans="1:7">
      <c r="A37">
        <v>0.55</v>
      </c>
      <c r="B37">
        <v>2.3</v>
      </c>
      <c r="F37" t="s">
        <v>63</v>
      </c>
      <c r="G37">
        <v>5</v>
      </c>
    </row>
    <row r="38" spans="1:7">
      <c r="A38">
        <v>0.61</v>
      </c>
      <c r="B38">
        <v>0</v>
      </c>
      <c r="F38" t="s">
        <v>50</v>
      </c>
      <c r="G38">
        <v>4.5</v>
      </c>
    </row>
    <row r="39" spans="1:7">
      <c r="A39">
        <v>0.64</v>
      </c>
      <c r="B39">
        <v>0</v>
      </c>
      <c r="F39" t="s">
        <v>35</v>
      </c>
      <c r="G39">
        <v>4.8</v>
      </c>
    </row>
    <row r="40" spans="1:7">
      <c r="A40" t="s">
        <v>410</v>
      </c>
      <c r="B40">
        <v>1.74838709677419</v>
      </c>
      <c r="F40" t="s">
        <v>66</v>
      </c>
      <c r="G40">
        <v>4.6</v>
      </c>
    </row>
    <row r="41" spans="1:7">
      <c r="F41" t="s">
        <v>60</v>
      </c>
      <c r="G41">
        <v>5</v>
      </c>
    </row>
    <row r="42" spans="1:7">
      <c r="F42" t="s">
        <v>22</v>
      </c>
      <c r="G42">
        <v>4.8</v>
      </c>
    </row>
    <row r="43" spans="1:7">
      <c r="F43" t="s">
        <v>14</v>
      </c>
      <c r="G43">
        <v>4.6</v>
      </c>
    </row>
    <row r="44" spans="1:7">
      <c r="F44" t="s">
        <v>18</v>
      </c>
      <c r="G44">
        <v>4.7</v>
      </c>
    </row>
    <row r="45" spans="1:7">
      <c r="F45" t="s">
        <v>410</v>
      </c>
      <c r="G45">
        <v>109.2</v>
      </c>
    </row>
  </sheetData>
  <pageMargins left="0.75" right="0.75" top="1" bottom="1" header="0.5" footer="0.5"/>
  <headerFooter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opLeftCell="A19" workbookViewId="0">
      <selection activeCell="Q36" sqref="Q36"/>
    </sheetView>
  </sheetViews>
  <sheetFormatPr defaultColWidth="9.12380952380952" defaultRowHeight="15"/>
  <cols>
    <col min="1" max="1" width="80.2857142857143"/>
    <col min="2" max="2" width="16.5714285714286"/>
    <col min="3" max="3" width="24.7142857142857"/>
    <col min="4" max="4" width="13.1238095238095" customWidth="1"/>
    <col min="5" max="5" width="103.857142857143"/>
    <col min="6" max="6" width="15.1428571428571"/>
    <col min="7" max="7" width="20.8571428571429"/>
    <col min="9" max="9" width="21"/>
    <col min="10" max="11" width="24.7142857142857"/>
  </cols>
  <sheetData>
    <row r="1" spans="1:11">
      <c r="E1" t="s">
        <v>399</v>
      </c>
      <c r="F1" t="s">
        <v>411</v>
      </c>
    </row>
    <row r="2" ht="15.75" spans="1:11">
      <c r="E2" s="4" t="s">
        <v>412</v>
      </c>
      <c r="F2"/>
      <c r="G2"/>
      <c r="I2" s="5" t="s">
        <v>413</v>
      </c>
    </row>
    <row r="3" spans="1:11">
      <c r="A3" t="s">
        <v>399</v>
      </c>
      <c r="B3" t="s">
        <v>414</v>
      </c>
      <c r="C3"/>
      <c r="E3" t="s">
        <v>394</v>
      </c>
      <c r="F3" t="s">
        <v>415</v>
      </c>
      <c r="G3"/>
      <c r="I3" t="s">
        <v>399</v>
      </c>
      <c r="J3" t="s">
        <v>404</v>
      </c>
      <c r="K3" t="s">
        <v>414</v>
      </c>
    </row>
    <row r="4" spans="1:11">
      <c r="A4" t="s">
        <v>408</v>
      </c>
      <c r="B4">
        <v>5.38709677419355</v>
      </c>
      <c r="C4"/>
      <c r="E4" t="s">
        <v>71</v>
      </c>
      <c r="F4">
        <v>0.53</v>
      </c>
      <c r="G4"/>
      <c r="I4" t="s">
        <v>408</v>
      </c>
      <c r="J4">
        <v>1.74838709677419</v>
      </c>
      <c r="K4">
        <v>5.38709677419355</v>
      </c>
    </row>
    <row r="5" spans="1:11">
      <c r="A5" t="s">
        <v>416</v>
      </c>
      <c r="B5">
        <v>2.11111111111111</v>
      </c>
      <c r="C5"/>
      <c r="E5" t="s">
        <v>190</v>
      </c>
      <c r="F5">
        <v>0.55</v>
      </c>
      <c r="G5"/>
      <c r="I5" t="s">
        <v>416</v>
      </c>
      <c r="J5">
        <v>0.827777777777778</v>
      </c>
      <c r="K5">
        <v>2.11111111111111</v>
      </c>
    </row>
    <row r="6" spans="1:11">
      <c r="A6" t="s">
        <v>417</v>
      </c>
      <c r="B6">
        <v>10.96875</v>
      </c>
      <c r="C6"/>
      <c r="E6" t="s">
        <v>316</v>
      </c>
      <c r="F6">
        <v>0.64</v>
      </c>
      <c r="G6"/>
      <c r="I6" t="s">
        <v>417</v>
      </c>
      <c r="J6">
        <v>3.075</v>
      </c>
      <c r="K6">
        <v>10.96875</v>
      </c>
    </row>
    <row r="7" spans="1:11">
      <c r="A7" t="s">
        <v>410</v>
      </c>
      <c r="B7">
        <v>6.45535714285714</v>
      </c>
      <c r="C7"/>
      <c r="E7" t="s">
        <v>175</v>
      </c>
      <c r="F7">
        <v>0.98</v>
      </c>
      <c r="G7"/>
      <c r="I7" t="s">
        <v>410</v>
      </c>
      <c r="J7">
        <v>1.97946428571429</v>
      </c>
      <c r="K7">
        <v>6.45535714285714</v>
      </c>
    </row>
    <row r="8" spans="1:11">
      <c r="E8" t="s">
        <v>120</v>
      </c>
      <c r="F8">
        <v>0.53</v>
      </c>
    </row>
    <row r="9" spans="1:11">
      <c r="E9" t="s">
        <v>154</v>
      </c>
      <c r="F9">
        <v>1.1</v>
      </c>
    </row>
    <row r="10" spans="1:11">
      <c r="E10" t="s">
        <v>85</v>
      </c>
      <c r="F10">
        <v>0.54</v>
      </c>
    </row>
    <row r="11" spans="1:11">
      <c r="E11" t="s">
        <v>35</v>
      </c>
      <c r="F11">
        <v>0.55</v>
      </c>
    </row>
    <row r="12" spans="1:11">
      <c r="A12" t="s">
        <v>398</v>
      </c>
      <c r="B12" t="s">
        <v>414</v>
      </c>
      <c r="E12" t="s">
        <v>186</v>
      </c>
      <c r="F12">
        <v>0.54</v>
      </c>
    </row>
    <row r="13" spans="1:11">
      <c r="A13" t="s">
        <v>418</v>
      </c>
      <c r="B13">
        <v>10.1363636363636</v>
      </c>
      <c r="E13" t="s">
        <v>170</v>
      </c>
      <c r="F13">
        <v>1</v>
      </c>
    </row>
    <row r="14" spans="1:11">
      <c r="A14" t="s">
        <v>407</v>
      </c>
      <c r="B14">
        <v>14.3913043478261</v>
      </c>
      <c r="E14" t="s">
        <v>410</v>
      </c>
      <c r="F14">
        <v>6.96</v>
      </c>
    </row>
    <row r="15" spans="1:11">
      <c r="A15" t="s">
        <v>419</v>
      </c>
      <c r="B15">
        <v>2.52238805970149</v>
      </c>
    </row>
    <row r="16" spans="1:11">
      <c r="A16" t="s">
        <v>410</v>
      </c>
      <c r="B16">
        <v>6.45535714285714</v>
      </c>
    </row>
    <row r="19" ht="15.75" spans="5:6">
      <c r="E19" s="6" t="s">
        <v>420</v>
      </c>
    </row>
    <row r="20" spans="5:6">
      <c r="E20" t="s">
        <v>394</v>
      </c>
      <c r="F20" t="s">
        <v>421</v>
      </c>
    </row>
    <row r="21" spans="5:6">
      <c r="E21" t="s">
        <v>44</v>
      </c>
      <c r="F21">
        <v>39</v>
      </c>
    </row>
    <row r="22" spans="5:6">
      <c r="E22" t="s">
        <v>194</v>
      </c>
      <c r="F22">
        <v>69</v>
      </c>
    </row>
    <row r="23" spans="5:6">
      <c r="E23" t="s">
        <v>30</v>
      </c>
      <c r="F23">
        <v>55</v>
      </c>
    </row>
    <row r="24" spans="5:6">
      <c r="E24" t="s">
        <v>68</v>
      </c>
      <c r="F24">
        <v>44</v>
      </c>
    </row>
    <row r="25" spans="5:6">
      <c r="E25" t="s">
        <v>97</v>
      </c>
      <c r="F25">
        <v>20</v>
      </c>
    </row>
    <row r="26" spans="5:6">
      <c r="E26" t="s">
        <v>114</v>
      </c>
      <c r="F26">
        <v>32</v>
      </c>
    </row>
    <row r="27" spans="5:6">
      <c r="E27" t="s">
        <v>111</v>
      </c>
      <c r="F27">
        <v>20</v>
      </c>
    </row>
    <row r="28" spans="5:6">
      <c r="E28" t="s">
        <v>89</v>
      </c>
      <c r="F28">
        <v>49</v>
      </c>
    </row>
    <row r="29" spans="5:6">
      <c r="E29" t="s">
        <v>14</v>
      </c>
      <c r="F29">
        <v>24</v>
      </c>
    </row>
    <row r="30" spans="5:6">
      <c r="E30" t="s">
        <v>122</v>
      </c>
      <c r="F30">
        <v>36</v>
      </c>
    </row>
    <row r="31" spans="5:6">
      <c r="E31" t="s">
        <v>410</v>
      </c>
      <c r="F31">
        <v>388</v>
      </c>
    </row>
    <row r="35" ht="15.75" spans="5:6">
      <c r="E35" s="6" t="s">
        <v>422</v>
      </c>
    </row>
    <row r="36" spans="5:6">
      <c r="E36" t="s">
        <v>394</v>
      </c>
      <c r="F36" t="s">
        <v>409</v>
      </c>
    </row>
    <row r="37" spans="5:6">
      <c r="E37" t="s">
        <v>56</v>
      </c>
      <c r="F37">
        <v>5</v>
      </c>
    </row>
    <row r="38" spans="5:6">
      <c r="E38" t="s">
        <v>245</v>
      </c>
      <c r="F38">
        <v>5</v>
      </c>
    </row>
    <row r="39" spans="5:6">
      <c r="E39" t="s">
        <v>120</v>
      </c>
      <c r="F39">
        <v>5</v>
      </c>
    </row>
    <row r="40" spans="5:6">
      <c r="E40" t="s">
        <v>117</v>
      </c>
      <c r="F40">
        <v>5</v>
      </c>
    </row>
    <row r="41" spans="5:6">
      <c r="E41" t="s">
        <v>295</v>
      </c>
      <c r="F41">
        <v>5</v>
      </c>
    </row>
    <row r="42" spans="5:6">
      <c r="E42" t="s">
        <v>63</v>
      </c>
      <c r="F42">
        <v>5</v>
      </c>
    </row>
    <row r="43" spans="5:6">
      <c r="E43" t="s">
        <v>60</v>
      </c>
      <c r="F43">
        <v>5</v>
      </c>
    </row>
    <row r="44" spans="5:6">
      <c r="E44" t="s">
        <v>410</v>
      </c>
      <c r="F44">
        <v>35</v>
      </c>
    </row>
    <row r="49" spans="1:6">
      <c r="E49" t="s">
        <v>394</v>
      </c>
      <c r="F49" t="s">
        <v>409</v>
      </c>
    </row>
    <row r="50" spans="1:6">
      <c r="E50" t="s">
        <v>177</v>
      </c>
      <c r="F50">
        <v>0</v>
      </c>
    </row>
    <row r="51" spans="1:6">
      <c r="E51" t="s">
        <v>304</v>
      </c>
      <c r="F51">
        <v>0</v>
      </c>
    </row>
    <row r="52" spans="1:6">
      <c r="E52" t="s">
        <v>251</v>
      </c>
      <c r="F52">
        <v>0</v>
      </c>
    </row>
    <row r="53" spans="1:6">
      <c r="E53" t="s">
        <v>301</v>
      </c>
      <c r="F53">
        <v>0</v>
      </c>
    </row>
    <row r="54" spans="1:6">
      <c r="A54" s="7" t="s">
        <v>423</v>
      </c>
      <c r="E54" t="s">
        <v>278</v>
      </c>
      <c r="F54">
        <v>0</v>
      </c>
    </row>
    <row r="55" spans="1:6">
      <c r="A55" t="s">
        <v>394</v>
      </c>
      <c r="B55" t="s">
        <v>415</v>
      </c>
      <c r="C55"/>
      <c r="E55" t="s">
        <v>151</v>
      </c>
      <c r="F55">
        <v>0</v>
      </c>
    </row>
    <row r="56" spans="1:6">
      <c r="A56" t="s">
        <v>71</v>
      </c>
      <c r="B56">
        <v>0.53</v>
      </c>
      <c r="C56"/>
      <c r="E56" t="s">
        <v>232</v>
      </c>
      <c r="F56">
        <v>0</v>
      </c>
    </row>
    <row r="57" spans="1:6">
      <c r="A57" t="s">
        <v>190</v>
      </c>
      <c r="B57">
        <v>0.55</v>
      </c>
      <c r="C57"/>
      <c r="E57" t="s">
        <v>235</v>
      </c>
      <c r="F57">
        <v>0</v>
      </c>
    </row>
    <row r="58" spans="1:6">
      <c r="A58" t="s">
        <v>316</v>
      </c>
      <c r="B58">
        <v>0.64</v>
      </c>
      <c r="C58"/>
      <c r="E58" t="s">
        <v>284</v>
      </c>
      <c r="F58">
        <v>0</v>
      </c>
    </row>
    <row r="59" spans="1:6">
      <c r="A59" t="s">
        <v>175</v>
      </c>
      <c r="B59">
        <v>0.98</v>
      </c>
      <c r="C59"/>
      <c r="E59" t="s">
        <v>131</v>
      </c>
      <c r="F59">
        <v>0</v>
      </c>
    </row>
    <row r="60" spans="1:6">
      <c r="A60" t="s">
        <v>120</v>
      </c>
      <c r="B60">
        <v>0.53</v>
      </c>
      <c r="C60"/>
      <c r="E60" t="s">
        <v>75</v>
      </c>
      <c r="F60">
        <v>0</v>
      </c>
    </row>
    <row r="61" spans="1:6">
      <c r="A61" t="s">
        <v>154</v>
      </c>
      <c r="B61">
        <v>1.1</v>
      </c>
      <c r="C61"/>
      <c r="E61" t="s">
        <v>248</v>
      </c>
      <c r="F61">
        <v>0</v>
      </c>
    </row>
    <row r="62" spans="1:6">
      <c r="A62" t="s">
        <v>85</v>
      </c>
      <c r="B62">
        <v>0.54</v>
      </c>
      <c r="C62"/>
      <c r="E62" t="s">
        <v>316</v>
      </c>
      <c r="F62">
        <v>0</v>
      </c>
    </row>
    <row r="63" spans="1:6">
      <c r="A63" t="s">
        <v>35</v>
      </c>
      <c r="B63">
        <v>0.55</v>
      </c>
      <c r="C63"/>
      <c r="E63" t="s">
        <v>277</v>
      </c>
      <c r="F63">
        <v>0</v>
      </c>
    </row>
    <row r="64" spans="1:6">
      <c r="A64" t="s">
        <v>186</v>
      </c>
      <c r="B64">
        <v>0.54</v>
      </c>
      <c r="C64"/>
      <c r="E64" t="s">
        <v>145</v>
      </c>
      <c r="F64">
        <v>0</v>
      </c>
    </row>
    <row r="65" spans="1:6">
      <c r="A65" t="s">
        <v>170</v>
      </c>
      <c r="B65">
        <v>1</v>
      </c>
      <c r="C65"/>
      <c r="E65" t="s">
        <v>240</v>
      </c>
      <c r="F65">
        <v>0</v>
      </c>
    </row>
    <row r="66" spans="1:6">
      <c r="A66" t="s">
        <v>410</v>
      </c>
      <c r="B66">
        <v>6.96</v>
      </c>
      <c r="C66"/>
      <c r="E66" t="s">
        <v>292</v>
      </c>
      <c r="F66">
        <v>0</v>
      </c>
    </row>
    <row r="67" spans="1:6">
      <c r="E67" t="s">
        <v>298</v>
      </c>
      <c r="F67">
        <v>0</v>
      </c>
    </row>
    <row r="68" spans="1:6">
      <c r="E68" t="s">
        <v>175</v>
      </c>
      <c r="F68">
        <v>0</v>
      </c>
    </row>
    <row r="69" spans="1:6">
      <c r="E69" t="s">
        <v>289</v>
      </c>
      <c r="F69">
        <v>0</v>
      </c>
    </row>
    <row r="70" spans="1:6">
      <c r="E70" t="s">
        <v>137</v>
      </c>
      <c r="F70">
        <v>0</v>
      </c>
    </row>
    <row r="71" spans="1:6">
      <c r="E71" t="s">
        <v>320</v>
      </c>
      <c r="F71">
        <v>0</v>
      </c>
    </row>
    <row r="72" spans="1:6">
      <c r="E72" t="s">
        <v>157</v>
      </c>
      <c r="F72">
        <v>0</v>
      </c>
    </row>
    <row r="73" spans="1:6">
      <c r="E73" t="s">
        <v>148</v>
      </c>
      <c r="F73">
        <v>0</v>
      </c>
    </row>
    <row r="74" spans="1:6">
      <c r="E74" t="s">
        <v>258</v>
      </c>
      <c r="F74">
        <v>0</v>
      </c>
    </row>
    <row r="75" spans="1:6">
      <c r="E75" t="s">
        <v>310</v>
      </c>
      <c r="F75">
        <v>0</v>
      </c>
    </row>
    <row r="76" spans="1:6">
      <c r="E76" t="s">
        <v>143</v>
      </c>
      <c r="F76">
        <v>0</v>
      </c>
    </row>
    <row r="77" spans="1:6">
      <c r="E77" t="s">
        <v>173</v>
      </c>
      <c r="F77">
        <v>0</v>
      </c>
    </row>
    <row r="78" spans="1:6">
      <c r="E78" t="s">
        <v>154</v>
      </c>
      <c r="F78">
        <v>0</v>
      </c>
    </row>
    <row r="79" spans="1:6">
      <c r="E79" t="s">
        <v>237</v>
      </c>
      <c r="F79">
        <v>0</v>
      </c>
    </row>
    <row r="80" spans="1:6">
      <c r="E80" t="s">
        <v>168</v>
      </c>
      <c r="F80">
        <v>0</v>
      </c>
    </row>
    <row r="81" spans="5:6">
      <c r="E81" t="s">
        <v>128</v>
      </c>
      <c r="F81">
        <v>0</v>
      </c>
    </row>
    <row r="82" spans="5:6">
      <c r="E82" t="s">
        <v>307</v>
      </c>
      <c r="F82">
        <v>0</v>
      </c>
    </row>
    <row r="83" spans="5:6">
      <c r="E83" t="s">
        <v>287</v>
      </c>
      <c r="F83">
        <v>0</v>
      </c>
    </row>
    <row r="84" spans="5:6">
      <c r="E84" t="s">
        <v>134</v>
      </c>
      <c r="F84">
        <v>0</v>
      </c>
    </row>
    <row r="85" spans="5:6">
      <c r="E85" t="s">
        <v>266</v>
      </c>
      <c r="F85">
        <v>0</v>
      </c>
    </row>
    <row r="86" spans="5:6">
      <c r="E86" t="s">
        <v>99</v>
      </c>
      <c r="F86">
        <v>0</v>
      </c>
    </row>
    <row r="87" spans="5:6">
      <c r="E87" t="s">
        <v>165</v>
      </c>
      <c r="F87">
        <v>0</v>
      </c>
    </row>
    <row r="88" spans="5:6">
      <c r="E88" t="s">
        <v>256</v>
      </c>
      <c r="F88">
        <v>0</v>
      </c>
    </row>
    <row r="89" spans="5:6">
      <c r="E89" t="s">
        <v>261</v>
      </c>
      <c r="F89">
        <v>0</v>
      </c>
    </row>
    <row r="90" spans="5:6">
      <c r="E90" t="s">
        <v>160</v>
      </c>
      <c r="F90">
        <v>0</v>
      </c>
    </row>
    <row r="91" spans="5:6">
      <c r="E91" t="s">
        <v>163</v>
      </c>
      <c r="F91">
        <v>0</v>
      </c>
    </row>
    <row r="92" spans="5:6">
      <c r="E92" t="s">
        <v>282</v>
      </c>
      <c r="F92">
        <v>0</v>
      </c>
    </row>
    <row r="93" spans="5:6">
      <c r="E93" t="s">
        <v>272</v>
      </c>
      <c r="F93">
        <v>0</v>
      </c>
    </row>
    <row r="94" spans="5:6">
      <c r="E94" t="s">
        <v>274</v>
      </c>
      <c r="F94">
        <v>0</v>
      </c>
    </row>
    <row r="95" spans="5:6">
      <c r="E95" t="s">
        <v>140</v>
      </c>
      <c r="F95">
        <v>0</v>
      </c>
    </row>
    <row r="96" spans="5:6">
      <c r="E96" t="s">
        <v>312</v>
      </c>
      <c r="F96">
        <v>0</v>
      </c>
    </row>
    <row r="97" spans="5:6">
      <c r="E97" t="s">
        <v>170</v>
      </c>
      <c r="F97">
        <v>0</v>
      </c>
    </row>
    <row r="98" spans="5:6">
      <c r="E98" t="s">
        <v>314</v>
      </c>
      <c r="F98">
        <v>0</v>
      </c>
    </row>
    <row r="99" spans="5:6">
      <c r="E99" t="s">
        <v>269</v>
      </c>
      <c r="F99">
        <v>0</v>
      </c>
    </row>
    <row r="100" spans="5:6">
      <c r="E100" t="s">
        <v>280</v>
      </c>
      <c r="F100">
        <v>0</v>
      </c>
    </row>
    <row r="101" spans="5:6">
      <c r="E101" t="s">
        <v>264</v>
      </c>
      <c r="F101">
        <v>0</v>
      </c>
    </row>
    <row r="102" spans="5:6">
      <c r="E102" t="s">
        <v>410</v>
      </c>
      <c r="F102">
        <v>0</v>
      </c>
    </row>
  </sheetData>
  <pageMargins left="0.75" right="0.75" top="1" bottom="1" header="0.5" footer="0.5"/>
  <headerFooter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6"/>
  <sheetViews>
    <sheetView showGridLines="0" tabSelected="1" workbookViewId="0">
      <selection activeCell="V23" sqref="V23:W23"/>
    </sheetView>
  </sheetViews>
  <sheetFormatPr defaultColWidth="9.14285714285714" defaultRowHeight="15" outlineLevelRow="5" outlineLevelCol="6"/>
  <cols>
    <col min="1" max="1" width="22.8571428571429" customWidth="1"/>
    <col min="3" max="3" width="19"/>
    <col min="5" max="5" width="20.4285714285714"/>
    <col min="7" max="7" width="24" customWidth="1"/>
  </cols>
  <sheetData>
    <row r="4" spans="1:7">
      <c r="A4" t="s">
        <v>424</v>
      </c>
      <c r="C4" t="s">
        <v>425</v>
      </c>
      <c r="E4" t="s">
        <v>426</v>
      </c>
      <c r="G4" t="s">
        <v>427</v>
      </c>
    </row>
    <row r="5" spans="1:7">
      <c r="A5" t="s">
        <v>428</v>
      </c>
      <c r="B5"/>
      <c r="C5" t="s">
        <v>404</v>
      </c>
      <c r="D5"/>
      <c r="E5" t="s">
        <v>403</v>
      </c>
      <c r="F5"/>
      <c r="G5" t="s">
        <v>421</v>
      </c>
    </row>
    <row r="6" ht="18.75" spans="1:7">
      <c r="A6" s="1">
        <v>112</v>
      </c>
      <c r="B6"/>
      <c r="C6" s="2">
        <v>1.97946428571429</v>
      </c>
      <c r="D6"/>
      <c r="E6" s="3">
        <v>0.367767857142857</v>
      </c>
      <c r="F6"/>
      <c r="G6" s="1">
        <v>723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 </vt:lpstr>
      <vt:lpstr>Read Me</vt:lpstr>
      <vt:lpstr>Staging Data </vt:lpstr>
      <vt:lpstr>Descriptive Analysis </vt:lpstr>
      <vt:lpstr>Trend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Stacy Omwoyo</cp:lastModifiedBy>
  <dcterms:created xsi:type="dcterms:W3CDTF">2026-04-30T07:51:00Z</dcterms:created>
  <dcterms:modified xsi:type="dcterms:W3CDTF">2026-05-23T14:01:18Z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1F6C05A90EBA451499B3EC4436F2911F_13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